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ed88bfe355e1a4c/Documents/Portfolio/"/>
    </mc:Choice>
  </mc:AlternateContent>
  <xr:revisionPtr revIDLastSave="0" documentId="8_{4949EF89-F289-4259-8D60-A0FB7F84E7D7}" xr6:coauthVersionLast="45" xr6:coauthVersionMax="45" xr10:uidLastSave="{00000000-0000-0000-0000-000000000000}"/>
  <bookViews>
    <workbookView xWindow="-120" yWindow="-120" windowWidth="20730" windowHeight="11040" activeTab="3" xr2:uid="{00000000-000D-0000-FFFF-FFFF00000000}"/>
  </bookViews>
  <sheets>
    <sheet name="CLEANED _DATA" sheetId="3" r:id="rId1"/>
    <sheet name="ISSUE_LOG" sheetId="4" r:id="rId2"/>
    <sheet name="Client_Brief" sheetId="1" r:id="rId3"/>
    <sheet name="Change_Log" sheetId="5" r:id="rId4"/>
    <sheet name="Raw_Data" sheetId="2" r:id="rId5"/>
  </sheets>
  <definedNames>
    <definedName name="_xlnm._FilterDatabase" localSheetId="0" hidden="1">'CLEANED _DATA'!$A$1:$O$52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6" i="3" l="1"/>
  <c r="P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7" i="3"/>
  <c r="M48" i="3"/>
  <c r="M49" i="3"/>
  <c r="M50" i="3"/>
  <c r="M51" i="3"/>
  <c r="M5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2" i="3"/>
  <c r="N50" i="3" l="1"/>
  <c r="O50" i="3" s="1"/>
  <c r="N46" i="3"/>
  <c r="O46" i="3" s="1"/>
  <c r="N30" i="3"/>
  <c r="O30" i="3" s="1"/>
  <c r="N18" i="3"/>
  <c r="O18" i="3" s="1"/>
  <c r="N6" i="3"/>
  <c r="O6" i="3" s="1"/>
  <c r="N2" i="3"/>
  <c r="O2" i="3" s="1"/>
  <c r="N41" i="3"/>
  <c r="O41" i="3" s="1"/>
  <c r="N29" i="3"/>
  <c r="O29" i="3" s="1"/>
  <c r="N13" i="3"/>
  <c r="O13" i="3" s="1"/>
  <c r="N52" i="3"/>
  <c r="O52" i="3" s="1"/>
  <c r="N36" i="3"/>
  <c r="O36" i="3" s="1"/>
  <c r="N24" i="3"/>
  <c r="O24" i="3" s="1"/>
  <c r="N4" i="3"/>
  <c r="O4" i="3" s="1"/>
  <c r="N38" i="3"/>
  <c r="O38" i="3" s="1"/>
  <c r="N34" i="3"/>
  <c r="O34" i="3" s="1"/>
  <c r="N22" i="3"/>
  <c r="O22" i="3" s="1"/>
  <c r="N10" i="3"/>
  <c r="O10" i="3" s="1"/>
  <c r="N49" i="3"/>
  <c r="O49" i="3" s="1"/>
  <c r="N37" i="3"/>
  <c r="O37" i="3" s="1"/>
  <c r="N25" i="3"/>
  <c r="O25" i="3" s="1"/>
  <c r="N17" i="3"/>
  <c r="O17" i="3" s="1"/>
  <c r="N5" i="3"/>
  <c r="O5" i="3" s="1"/>
  <c r="N44" i="3"/>
  <c r="O44" i="3" s="1"/>
  <c r="N32" i="3"/>
  <c r="O32" i="3" s="1"/>
  <c r="N20" i="3"/>
  <c r="O20" i="3" s="1"/>
  <c r="N12" i="3"/>
  <c r="O12" i="3" s="1"/>
  <c r="N47" i="3"/>
  <c r="O47" i="3" s="1"/>
  <c r="N39" i="3"/>
  <c r="O39" i="3" s="1"/>
  <c r="N31" i="3"/>
  <c r="O31" i="3" s="1"/>
  <c r="N23" i="3"/>
  <c r="O23" i="3" s="1"/>
  <c r="N15" i="3"/>
  <c r="O15" i="3" s="1"/>
  <c r="N7" i="3"/>
  <c r="O7" i="3" s="1"/>
  <c r="N42" i="3"/>
  <c r="O42" i="3" s="1"/>
  <c r="N26" i="3"/>
  <c r="O26" i="3" s="1"/>
  <c r="N14" i="3"/>
  <c r="O14" i="3" s="1"/>
  <c r="N45" i="3"/>
  <c r="O45" i="3" s="1"/>
  <c r="N33" i="3"/>
  <c r="O33" i="3" s="1"/>
  <c r="N21" i="3"/>
  <c r="O21" i="3" s="1"/>
  <c r="N9" i="3"/>
  <c r="O9" i="3" s="1"/>
  <c r="N48" i="3"/>
  <c r="O48" i="3" s="1"/>
  <c r="N40" i="3"/>
  <c r="O40" i="3" s="1"/>
  <c r="N28" i="3"/>
  <c r="O28" i="3" s="1"/>
  <c r="N16" i="3"/>
  <c r="O16" i="3" s="1"/>
  <c r="N8" i="3"/>
  <c r="O8" i="3" s="1"/>
  <c r="N51" i="3"/>
  <c r="O51" i="3" s="1"/>
  <c r="N43" i="3"/>
  <c r="O43" i="3" s="1"/>
  <c r="N35" i="3"/>
  <c r="O35" i="3" s="1"/>
  <c r="N27" i="3"/>
  <c r="O27" i="3" s="1"/>
  <c r="N19" i="3"/>
  <c r="O19" i="3" s="1"/>
  <c r="N11" i="3"/>
  <c r="O11" i="3" s="1"/>
  <c r="N3" i="3"/>
  <c r="O3" i="3" s="1"/>
</calcChain>
</file>

<file path=xl/sharedStrings.xml><?xml version="1.0" encoding="utf-8"?>
<sst xmlns="http://schemas.openxmlformats.org/spreadsheetml/2006/main" count="825" uniqueCount="267">
  <si>
    <t>PROJECT #1</t>
  </si>
  <si>
    <t>Excel Customer Data Cleaning &amp; CRM Preparation</t>
  </si>
  <si>
    <t>Scenario</t>
  </si>
  <si>
    <t>You are a freelance Excel/Data Entry specialist. A client sent a messy customer list and wants it cleaned before CRM import.</t>
  </si>
  <si>
    <t>Client requirements</t>
  </si>
  <si>
    <t>1. Remove true duplicate records without deleting valid unique customers.</t>
  </si>
  <si>
    <t>2. Standardize customer names (trim extra spaces and use consistent capitalization).</t>
  </si>
  <si>
    <t>3. Standardize email values and flag invalid-looking emails.</t>
  </si>
  <si>
    <t>4. Standardize phone numbers into one consistent format.</t>
  </si>
  <si>
    <t>5. Standardize city names and status values.</t>
  </si>
  <si>
    <t>6. Standardize the date format to DD/MM/YYYY.</t>
  </si>
  <si>
    <t>7. Identify blank or questionable values and flag them rather than inventing information.</t>
  </si>
  <si>
    <t>8. Create a separate Change_Log sheet describing major corrections.</t>
  </si>
  <si>
    <t>Deliverables</t>
  </si>
  <si>
    <t>• Cleaned Excel workbook</t>
  </si>
  <si>
    <t>• Change_Log sheet</t>
  </si>
  <si>
    <t>• Issues/Review sheet for questionable records</t>
  </si>
  <si>
    <t>Important</t>
  </si>
  <si>
    <t>This is a training simulation inspired by real freelance Excel data-cleaning requirements. Do not claim this was paid client work.</t>
  </si>
  <si>
    <t>Customer_ID</t>
  </si>
  <si>
    <t>Customer_Name</t>
  </si>
  <si>
    <t>Email</t>
  </si>
  <si>
    <t>Phone</t>
  </si>
  <si>
    <t>City</t>
  </si>
  <si>
    <t>Signup_Date</t>
  </si>
  <si>
    <t>Status</t>
  </si>
  <si>
    <t>CUST-0020</t>
  </si>
  <si>
    <t>Vina Nugroho</t>
  </si>
  <si>
    <t>vina.nugroho@example.com</t>
  </si>
  <si>
    <t>085733411560</t>
  </si>
  <si>
    <t>Bekasi</t>
  </si>
  <si>
    <t>19/03/2026</t>
  </si>
  <si>
    <t>Inactive</t>
  </si>
  <si>
    <t>CUST-0042</t>
  </si>
  <si>
    <t>Budi Hidayat</t>
  </si>
  <si>
    <t>budi.hidayat@example.com</t>
  </si>
  <si>
    <t>081713628803</t>
  </si>
  <si>
    <t>Malang</t>
  </si>
  <si>
    <t>07/02/2026</t>
  </si>
  <si>
    <t>Pending</t>
  </si>
  <si>
    <t>CUST-0048</t>
  </si>
  <si>
    <t>Hendra Lestari</t>
  </si>
  <si>
    <t>hendra.lestari@example.com</t>
  </si>
  <si>
    <t>085785420248</t>
  </si>
  <si>
    <t>Yogyakarta</t>
  </si>
  <si>
    <t>15/01/2026</t>
  </si>
  <si>
    <t>CUST-0013</t>
  </si>
  <si>
    <t>Maya Siregar</t>
  </si>
  <si>
    <t>maya.siregar@example.com</t>
  </si>
  <si>
    <t>084098485882</t>
  </si>
  <si>
    <t xml:space="preserve"> jakarta </t>
  </si>
  <si>
    <t>31/03/2026</t>
  </si>
  <si>
    <t>Active</t>
  </si>
  <si>
    <t>CUST-0044</t>
  </si>
  <si>
    <t>Dewi Saputra</t>
  </si>
  <si>
    <t>dewi.saputra@example.com</t>
  </si>
  <si>
    <t>083414889832</t>
  </si>
  <si>
    <t>Medan</t>
  </si>
  <si>
    <t>01/06/2026</t>
  </si>
  <si>
    <t>CUST-0006</t>
  </si>
  <si>
    <t>Fajar Permata</t>
  </si>
  <si>
    <t>fajar.permata@example.com</t>
  </si>
  <si>
    <t>081236505587</t>
  </si>
  <si>
    <t>Surabaya</t>
  </si>
  <si>
    <t>26/01/2026</t>
  </si>
  <si>
    <t>CUST-0018</t>
  </si>
  <si>
    <t>Sari Lestari</t>
  </si>
  <si>
    <t>sari.lestari@example.com</t>
  </si>
  <si>
    <t>084566589567</t>
  </si>
  <si>
    <t>30/04/2026</t>
  </si>
  <si>
    <t>CUST-0004</t>
  </si>
  <si>
    <t xml:space="preserve">  DEWI SAPUTRA  </t>
  </si>
  <si>
    <t>088301369453</t>
  </si>
  <si>
    <t>22/05/2026</t>
  </si>
  <si>
    <t>CUST-0033</t>
  </si>
  <si>
    <t>081801808367</t>
  </si>
  <si>
    <t>10/04/2026</t>
  </si>
  <si>
    <t>CUST-0014</t>
  </si>
  <si>
    <t>Nadia Saputra</t>
  </si>
  <si>
    <t>nadia.saputra@example.com</t>
  </si>
  <si>
    <t>082293448329</t>
  </si>
  <si>
    <t>27/02/2026</t>
  </si>
  <si>
    <t>CUST-0009</t>
  </si>
  <si>
    <t>Intan Kurniawan</t>
  </si>
  <si>
    <t>intan.kurniawan@example.com</t>
  </si>
  <si>
    <t>086248968489</t>
  </si>
  <si>
    <t>CUST-0027</t>
  </si>
  <si>
    <t>Gita Pratama</t>
  </si>
  <si>
    <t>gita.pratama@example.com</t>
  </si>
  <si>
    <t>088125211183</t>
  </si>
  <si>
    <t>06/04/2026</t>
  </si>
  <si>
    <t>CUST-0007</t>
  </si>
  <si>
    <t>082039042955</t>
  </si>
  <si>
    <t>12/05/2026</t>
  </si>
  <si>
    <t>CUST-0035</t>
  </si>
  <si>
    <t>Oscar Santoso</t>
  </si>
  <si>
    <t>oscar.santoso@example.com</t>
  </si>
  <si>
    <t>086338207270</t>
  </si>
  <si>
    <t>27/03/2026</t>
  </si>
  <si>
    <t>CUST-0005</t>
  </si>
  <si>
    <t>Eko Santoso</t>
  </si>
  <si>
    <t>eko.santoso@example.com</t>
  </si>
  <si>
    <t>085768366722</t>
  </si>
  <si>
    <t>21/04/2026</t>
  </si>
  <si>
    <t>CUST-0038</t>
  </si>
  <si>
    <t>082822989659</t>
  </si>
  <si>
    <t>19/01/2026</t>
  </si>
  <si>
    <t>CUST-0025</t>
  </si>
  <si>
    <t>084773561638</t>
  </si>
  <si>
    <t>SURABAYA</t>
  </si>
  <si>
    <t>28/01/2026</t>
  </si>
  <si>
    <t>CUST-0045</t>
  </si>
  <si>
    <t>087235076551</t>
  </si>
  <si>
    <t>CUST-0034</t>
  </si>
  <si>
    <t>086554384371</t>
  </si>
  <si>
    <t>2026/05/12</t>
  </si>
  <si>
    <t>CUST-0050</t>
  </si>
  <si>
    <t>Joko Nugroho</t>
  </si>
  <si>
    <t>joko.nugroho@example.com</t>
  </si>
  <si>
    <t>083794860228</t>
  </si>
  <si>
    <t>CUST-0016</t>
  </si>
  <si>
    <t>Putri Permata</t>
  </si>
  <si>
    <t>putri.permata@example.com</t>
  </si>
  <si>
    <t>082731775357</t>
  </si>
  <si>
    <t>04/04/2026</t>
  </si>
  <si>
    <t>active</t>
  </si>
  <si>
    <t>CUST-0010</t>
  </si>
  <si>
    <t>082901823908</t>
  </si>
  <si>
    <t>27/04/2026</t>
  </si>
  <si>
    <t>CUST-0017</t>
  </si>
  <si>
    <t>Rina Pratama</t>
  </si>
  <si>
    <t>rina.pratama@example.com</t>
  </si>
  <si>
    <t>084739960595</t>
  </si>
  <si>
    <t>11/03/2026</t>
  </si>
  <si>
    <t>CUST-0031</t>
  </si>
  <si>
    <t>Kevin Wijaya</t>
  </si>
  <si>
    <t>kevin.wijaya@example.com</t>
  </si>
  <si>
    <t>0880 11165043</t>
  </si>
  <si>
    <t>15/02/2026</t>
  </si>
  <si>
    <t>CUST-0037</t>
  </si>
  <si>
    <t xml:space="preserve">  Rina Pratama </t>
  </si>
  <si>
    <t>084629615275</t>
  </si>
  <si>
    <t>24/03/2026</t>
  </si>
  <si>
    <t>CUST-0026</t>
  </si>
  <si>
    <t>082732629719</t>
  </si>
  <si>
    <t>29/04/2026</t>
  </si>
  <si>
    <t>CUST-0012</t>
  </si>
  <si>
    <t>Lina Hidayat</t>
  </si>
  <si>
    <t>lina.hidayat@example.com</t>
  </si>
  <si>
    <t>088654020107</t>
  </si>
  <si>
    <t>12/02/2026</t>
  </si>
  <si>
    <t>CUST-0001</t>
  </si>
  <si>
    <t>Andi Wijaya</t>
  </si>
  <si>
    <t>andi.wijaya@example.com</t>
  </si>
  <si>
    <t>083846317213</t>
  </si>
  <si>
    <t>09/01/2026</t>
  </si>
  <si>
    <t>CUST-0047</t>
  </si>
  <si>
    <t>085989097604</t>
  </si>
  <si>
    <t>09/05/2026</t>
  </si>
  <si>
    <t>CUST-0028</t>
  </si>
  <si>
    <t>081798594025</t>
  </si>
  <si>
    <t>03/04/2026</t>
  </si>
  <si>
    <t>CUST-0032</t>
  </si>
  <si>
    <t>087689080583</t>
  </si>
  <si>
    <t>06/03/2026</t>
  </si>
  <si>
    <t>CUST-0040</t>
  </si>
  <si>
    <t>rina..example.com</t>
  </si>
  <si>
    <t>082451531223</t>
  </si>
  <si>
    <t>10/05/2026</t>
  </si>
  <si>
    <t>CUST-0030</t>
  </si>
  <si>
    <t>088409262590</t>
  </si>
  <si>
    <t>21/01/2026</t>
  </si>
  <si>
    <t>CUST-0046</t>
  </si>
  <si>
    <t>082815412119</t>
  </si>
  <si>
    <t>28/02/2026</t>
  </si>
  <si>
    <t>INACTIVE</t>
  </si>
  <si>
    <t>CUST-0002</t>
  </si>
  <si>
    <t>084284935163</t>
  </si>
  <si>
    <t>CUST-0022</t>
  </si>
  <si>
    <t xml:space="preserve"> budi.hidayat@example.com </t>
  </si>
  <si>
    <t>083579708607</t>
  </si>
  <si>
    <t>20/01/2026</t>
  </si>
  <si>
    <t>CUST-0003</t>
  </si>
  <si>
    <t>Citra Siregar</t>
  </si>
  <si>
    <t>citra.siregar@example.com</t>
  </si>
  <si>
    <t>082058682846</t>
  </si>
  <si>
    <t>29/01/2026</t>
  </si>
  <si>
    <t>CUST-0041</t>
  </si>
  <si>
    <t>087094193360</t>
  </si>
  <si>
    <t>CUST-0036</t>
  </si>
  <si>
    <t>084432894265</t>
  </si>
  <si>
    <t>02/03/2026</t>
  </si>
  <si>
    <t>CUST-0024</t>
  </si>
  <si>
    <t>084420303242</t>
  </si>
  <si>
    <t>23/01/2026</t>
  </si>
  <si>
    <t>CUST-0049</t>
  </si>
  <si>
    <t>11/02/2026</t>
  </si>
  <si>
    <t>CUST-0011</t>
  </si>
  <si>
    <t>08136308176844</t>
  </si>
  <si>
    <t>04/01/2026</t>
  </si>
  <si>
    <t>CUST-0023</t>
  </si>
  <si>
    <t>085591781529</t>
  </si>
  <si>
    <t>CUST-0019</t>
  </si>
  <si>
    <t>Tono KurniAwan</t>
  </si>
  <si>
    <t>tono.kurniawan@example.com</t>
  </si>
  <si>
    <t>083403082117</t>
  </si>
  <si>
    <t>09/04/2026</t>
  </si>
  <si>
    <t>CUST-0026-DUP</t>
  </si>
  <si>
    <t xml:space="preserve"> fajar.permata@example.com </t>
  </si>
  <si>
    <t>CUST-0021</t>
  </si>
  <si>
    <t>088957233202</t>
  </si>
  <si>
    <t>05/04/2026</t>
  </si>
  <si>
    <t>CUST-0008</t>
  </si>
  <si>
    <t>HENDRA.LESTARI@EXAMPLE.COM</t>
  </si>
  <si>
    <t>083685650756</t>
  </si>
  <si>
    <t>26/05/2026</t>
  </si>
  <si>
    <t>CUST-0043</t>
  </si>
  <si>
    <t>086454224376</t>
  </si>
  <si>
    <t>CUST-0015</t>
  </si>
  <si>
    <t>082545662585</t>
  </si>
  <si>
    <t>CUST-0029</t>
  </si>
  <si>
    <t>086294793134</t>
  </si>
  <si>
    <t>12/03/2026</t>
  </si>
  <si>
    <t>CUST-0039</t>
  </si>
  <si>
    <t>Tono Kurniawan</t>
  </si>
  <si>
    <t>086301131692</t>
  </si>
  <si>
    <t>28/05/2026</t>
  </si>
  <si>
    <t>CUSTOMER_NAME _CLEAN</t>
  </si>
  <si>
    <t>EMAIL_CLEAN</t>
  </si>
  <si>
    <t>PHONE_CLEAN</t>
  </si>
  <si>
    <t>CITY_CLEAN</t>
  </si>
  <si>
    <t>STATUS_CLEAN</t>
  </si>
  <si>
    <t>DATE_CLEAN</t>
  </si>
  <si>
    <t>DUPLICATE_CHECK</t>
  </si>
  <si>
    <t>DUPLICATE_ACTION</t>
  </si>
  <si>
    <t>ISSUE_TYPE</t>
  </si>
  <si>
    <t>CUSTOMER _ID</t>
  </si>
  <si>
    <t>CUSTOMER_NAME</t>
  </si>
  <si>
    <t>ISSUE</t>
  </si>
  <si>
    <t>RECOMMENDED _ACTION</t>
  </si>
  <si>
    <t>DUPLICATE</t>
  </si>
  <si>
    <t>CLEANING RESULTS</t>
  </si>
  <si>
    <t>Total Records</t>
  </si>
  <si>
    <t>Unique Records</t>
  </si>
  <si>
    <t>DUPLICATE RECORDS</t>
  </si>
  <si>
    <t>ISSUES LOGGED</t>
  </si>
  <si>
    <t>RECOMMENDED ACTION</t>
  </si>
  <si>
    <t>Review and remove duplicate records</t>
  </si>
  <si>
    <t>Exact duplicate record found</t>
  </si>
  <si>
    <t>Remove duplicate after review</t>
  </si>
  <si>
    <t>CHANGE_TYPE</t>
  </si>
  <si>
    <t>FIELD</t>
  </si>
  <si>
    <t>ORIGINAL_VALUE</t>
  </si>
  <si>
    <t>CLEANED_VALUE</t>
  </si>
  <si>
    <t>REASON</t>
  </si>
  <si>
    <t>STANDARDIZE</t>
  </si>
  <si>
    <t>Raw_Data</t>
  </si>
  <si>
    <t>Standardized customer name formatting</t>
  </si>
  <si>
    <t>Standardized email format</t>
  </si>
  <si>
    <t>Standardized phone format</t>
  </si>
  <si>
    <t>Standardized city names</t>
  </si>
  <si>
    <t>Standardized status values</t>
  </si>
  <si>
    <t>Standardized date format to dd/mm/yyyy</t>
  </si>
  <si>
    <t>CUST-0026 / CUST-0026-DUP</t>
  </si>
  <si>
    <t>REVIEW</t>
  </si>
  <si>
    <t>Duplicate records identified for manual review</t>
  </si>
  <si>
    <t>CUSTOMER_NAME_CLEAN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</si>
</sst>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1" fillId="0" borderId="2" xfId="0" applyFont="1" applyFill="1" applyBorder="1" applyAlignment="1">
      <alignment vertical="top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/>
    <xf numFmtId="0" fontId="4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621B-6845-4CA5-A8D8-0BFF97F06048}">
  <dimension ref="A1:P52"/>
  <sheetViews>
    <sheetView topLeftCell="F1" zoomScale="40" zoomScaleNormal="40" workbookViewId="0">
      <pane ySplit="1" topLeftCell="A2" activePane="bottomLeft" state="frozen"/>
      <selection pane="bottomLeft" activeCell="N1" sqref="N1"/>
    </sheetView>
  </sheetViews>
  <sheetFormatPr defaultRowHeight="15"/>
  <cols>
    <col min="1" max="1" width="15" customWidth="1"/>
    <col min="2" max="2" width="24" customWidth="1"/>
    <col min="3" max="3" width="34" customWidth="1"/>
    <col min="4" max="4" width="18" customWidth="1"/>
    <col min="5" max="6" width="16" customWidth="1"/>
    <col min="7" max="7" width="14" customWidth="1"/>
    <col min="8" max="8" width="24.7109375" customWidth="1"/>
    <col min="9" max="9" width="29.28515625" customWidth="1"/>
    <col min="10" max="10" width="14.28515625" customWidth="1"/>
    <col min="11" max="11" width="18.140625" customWidth="1"/>
    <col min="12" max="12" width="15.140625" customWidth="1"/>
    <col min="13" max="13" width="15.7109375" customWidth="1"/>
    <col min="14" max="14" width="18.85546875" customWidth="1"/>
    <col min="15" max="15" width="22.85546875" customWidth="1"/>
    <col min="16" max="16" width="32.42578125" customWidth="1"/>
  </cols>
  <sheetData>
    <row r="1" spans="1:16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6" t="s">
        <v>227</v>
      </c>
      <c r="I1" s="6" t="s">
        <v>228</v>
      </c>
      <c r="J1" s="6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</row>
    <row r="2" spans="1:16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t="str">
        <f>PROPER(TRIM(B2))</f>
        <v>Vina Nugroho</v>
      </c>
      <c r="I2" t="str">
        <f>LOWER(TRIM(C2))</f>
        <v>vina.nugroho@example.com</v>
      </c>
      <c r="J2" t="str">
        <f>SUBSTITUTE(TRIM(D2)," ","")</f>
        <v>085733411560</v>
      </c>
      <c r="K2" t="str">
        <f>PROPER(TRIM(E2))</f>
        <v>Bekasi</v>
      </c>
      <c r="L2" t="str">
        <f>PROPER(TRIM(G2))</f>
        <v>Inactive</v>
      </c>
      <c r="M2" t="str">
        <f>IF(ISNUMBER(F2),TEXT(F2,"dd/mm/yyyy"),IF(LEFT(F2,4)="2026",MID(F2,9,2)&amp;"/"&amp;MID(F2,6,2)&amp;"/"&amp;LEFT(F2,4),F2))</f>
        <v>19/03/2026</v>
      </c>
      <c r="N2" t="str">
        <f>IF(COUNTIFS($H$2:$H$53,H2,$I$2:$I$53,I2,$J$2:$J$53,J2)&gt;1,"DUPLICATE","UNIQUE")</f>
        <v>UNIQUE</v>
      </c>
      <c r="O2" t="str">
        <f>IF(N2="DUPLICATE","REVIEW","KEEP")</f>
        <v>KEEP</v>
      </c>
    </row>
    <row r="3" spans="1:16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t="str">
        <f t="shared" ref="H3:H52" si="0">PROPER(TRIM(B3))</f>
        <v>Budi Hidayat</v>
      </c>
      <c r="I3" t="str">
        <f t="shared" ref="I3:I52" si="1">LOWER(TRIM(C3))</f>
        <v>budi.hidayat@example.com</v>
      </c>
      <c r="J3" t="str">
        <f t="shared" ref="J3:J52" si="2">SUBSTITUTE(TRIM(D3)," ","")</f>
        <v>081713628803</v>
      </c>
      <c r="K3" t="str">
        <f t="shared" ref="K3:K52" si="3">PROPER(TRIM(E3))</f>
        <v>Malang</v>
      </c>
      <c r="L3" t="str">
        <f t="shared" ref="L3:L52" si="4">PROPER(TRIM(G3))</f>
        <v>Pending</v>
      </c>
      <c r="M3" t="str">
        <f t="shared" ref="M3:M52" si="5">IF(ISNUMBER(F3),TEXT(F3,"dd/mm/yyyy"),IF(LEFT(F3,4)="2026",MID(F3,9,2)&amp;"/"&amp;MID(F3,6,2)&amp;"/"&amp;LEFT(F3,4),F3))</f>
        <v>07/02/2026</v>
      </c>
      <c r="N3" t="str">
        <f t="shared" ref="N3:N52" si="6">IF(COUNTIFS($H$2:$H$53,H3,$I$2:$I$53,I3,$J$2:$J$53,J3)&gt;1,"DUPLICATE","UNIQUE")</f>
        <v>UNIQUE</v>
      </c>
      <c r="O3" t="str">
        <f>IF(N3="DUPLICATE","REVIEW","KEEP")</f>
        <v>KEEP</v>
      </c>
    </row>
    <row r="4" spans="1:16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39</v>
      </c>
      <c r="H4" t="str">
        <f t="shared" si="0"/>
        <v>Hendra Lestari</v>
      </c>
      <c r="I4" t="str">
        <f t="shared" si="1"/>
        <v>hendra.lestari@example.com</v>
      </c>
      <c r="J4" t="str">
        <f t="shared" si="2"/>
        <v>085785420248</v>
      </c>
      <c r="K4" t="str">
        <f t="shared" si="3"/>
        <v>Yogyakarta</v>
      </c>
      <c r="L4" t="str">
        <f t="shared" si="4"/>
        <v>Pending</v>
      </c>
      <c r="M4" t="str">
        <f t="shared" si="5"/>
        <v>15/01/2026</v>
      </c>
      <c r="N4" t="str">
        <f t="shared" si="6"/>
        <v>UNIQUE</v>
      </c>
      <c r="O4" t="str">
        <f t="shared" ref="O4:O52" si="7">IF(N4="DUPLICATE","REVIEW","KEEP")</f>
        <v>KEEP</v>
      </c>
    </row>
    <row r="5" spans="1:16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t="str">
        <f t="shared" si="0"/>
        <v>Maya Siregar</v>
      </c>
      <c r="I5" t="str">
        <f t="shared" si="1"/>
        <v>maya.siregar@example.com</v>
      </c>
      <c r="J5" t="str">
        <f t="shared" si="2"/>
        <v>084098485882</v>
      </c>
      <c r="K5" t="str">
        <f t="shared" si="3"/>
        <v>Jakarta</v>
      </c>
      <c r="L5" t="str">
        <f t="shared" si="4"/>
        <v>Active</v>
      </c>
      <c r="M5" t="str">
        <f t="shared" si="5"/>
        <v>31/03/2026</v>
      </c>
      <c r="N5" t="str">
        <f t="shared" si="6"/>
        <v>UNIQUE</v>
      </c>
      <c r="O5" t="str">
        <f t="shared" si="7"/>
        <v>KEEP</v>
      </c>
    </row>
    <row r="6" spans="1:16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32</v>
      </c>
      <c r="H6" t="str">
        <f t="shared" si="0"/>
        <v>Dewi Saputra</v>
      </c>
      <c r="I6" t="str">
        <f t="shared" si="1"/>
        <v>dewi.saputra@example.com</v>
      </c>
      <c r="J6" t="str">
        <f t="shared" si="2"/>
        <v>083414889832</v>
      </c>
      <c r="K6" t="str">
        <f t="shared" si="3"/>
        <v>Medan</v>
      </c>
      <c r="L6" t="str">
        <f t="shared" si="4"/>
        <v>Inactive</v>
      </c>
      <c r="M6" t="str">
        <f t="shared" si="5"/>
        <v>01/06/2026</v>
      </c>
      <c r="N6" t="str">
        <f t="shared" si="6"/>
        <v>UNIQUE</v>
      </c>
      <c r="O6" t="str">
        <f t="shared" si="7"/>
        <v>KEEP</v>
      </c>
    </row>
    <row r="7" spans="1:16">
      <c r="A7" s="5" t="s">
        <v>59</v>
      </c>
      <c r="B7" s="5" t="s">
        <v>60</v>
      </c>
      <c r="C7" s="5" t="s">
        <v>61</v>
      </c>
      <c r="D7" s="5" t="s">
        <v>62</v>
      </c>
      <c r="E7" s="5" t="s">
        <v>63</v>
      </c>
      <c r="F7" s="5" t="s">
        <v>64</v>
      </c>
      <c r="G7" s="5" t="s">
        <v>39</v>
      </c>
      <c r="H7" t="str">
        <f t="shared" si="0"/>
        <v>Fajar Permata</v>
      </c>
      <c r="I7" t="str">
        <f t="shared" si="1"/>
        <v>fajar.permata@example.com</v>
      </c>
      <c r="J7" t="str">
        <f t="shared" si="2"/>
        <v>081236505587</v>
      </c>
      <c r="K7" t="str">
        <f t="shared" si="3"/>
        <v>Surabaya</v>
      </c>
      <c r="L7" t="str">
        <f t="shared" si="4"/>
        <v>Pending</v>
      </c>
      <c r="M7" t="str">
        <f t="shared" si="5"/>
        <v>26/01/2026</v>
      </c>
      <c r="N7" t="str">
        <f t="shared" si="6"/>
        <v>UNIQUE</v>
      </c>
      <c r="O7" t="str">
        <f t="shared" si="7"/>
        <v>KEEP</v>
      </c>
      <c r="P7">
        <f>COUNTIF($A$2:$A$53,A7)</f>
        <v>1</v>
      </c>
    </row>
    <row r="8" spans="1:16">
      <c r="A8" s="5" t="s">
        <v>65</v>
      </c>
      <c r="B8" s="5" t="s">
        <v>66</v>
      </c>
      <c r="C8" s="5" t="s">
        <v>67</v>
      </c>
      <c r="D8" s="5" t="s">
        <v>68</v>
      </c>
      <c r="E8" s="5" t="s">
        <v>44</v>
      </c>
      <c r="F8" s="5" t="s">
        <v>69</v>
      </c>
      <c r="G8" s="5" t="s">
        <v>39</v>
      </c>
      <c r="H8" t="str">
        <f t="shared" si="0"/>
        <v>Sari Lestari</v>
      </c>
      <c r="I8" t="str">
        <f t="shared" si="1"/>
        <v>sari.lestari@example.com</v>
      </c>
      <c r="J8" t="str">
        <f t="shared" si="2"/>
        <v>084566589567</v>
      </c>
      <c r="K8" t="str">
        <f t="shared" si="3"/>
        <v>Yogyakarta</v>
      </c>
      <c r="L8" t="str">
        <f t="shared" si="4"/>
        <v>Pending</v>
      </c>
      <c r="M8" t="str">
        <f t="shared" si="5"/>
        <v>30/04/2026</v>
      </c>
      <c r="N8" t="str">
        <f t="shared" si="6"/>
        <v>UNIQUE</v>
      </c>
      <c r="O8" t="str">
        <f t="shared" si="7"/>
        <v>KEEP</v>
      </c>
    </row>
    <row r="9" spans="1:16">
      <c r="A9" s="5" t="s">
        <v>70</v>
      </c>
      <c r="B9" s="5" t="s">
        <v>71</v>
      </c>
      <c r="C9" s="5" t="s">
        <v>55</v>
      </c>
      <c r="D9" s="5" t="s">
        <v>72</v>
      </c>
      <c r="E9" s="5" t="s">
        <v>57</v>
      </c>
      <c r="F9" s="5" t="s">
        <v>73</v>
      </c>
      <c r="G9" s="5" t="s">
        <v>52</v>
      </c>
      <c r="H9" t="str">
        <f t="shared" si="0"/>
        <v>Dewi Saputra</v>
      </c>
      <c r="I9" t="str">
        <f t="shared" si="1"/>
        <v>dewi.saputra@example.com</v>
      </c>
      <c r="J9" t="str">
        <f t="shared" si="2"/>
        <v>088301369453</v>
      </c>
      <c r="K9" t="str">
        <f t="shared" si="3"/>
        <v>Medan</v>
      </c>
      <c r="L9" t="str">
        <f t="shared" si="4"/>
        <v>Active</v>
      </c>
      <c r="M9" t="str">
        <f t="shared" si="5"/>
        <v>22/05/2026</v>
      </c>
      <c r="N9" t="str">
        <f t="shared" si="6"/>
        <v>UNIQUE</v>
      </c>
      <c r="O9" t="str">
        <f t="shared" si="7"/>
        <v>KEEP</v>
      </c>
    </row>
    <row r="10" spans="1:16">
      <c r="A10" s="5" t="s">
        <v>74</v>
      </c>
      <c r="B10" s="5" t="s">
        <v>47</v>
      </c>
      <c r="C10" s="5" t="s">
        <v>48</v>
      </c>
      <c r="D10" s="5" t="s">
        <v>75</v>
      </c>
      <c r="E10" s="5" t="s">
        <v>44</v>
      </c>
      <c r="F10" s="5" t="s">
        <v>76</v>
      </c>
      <c r="G10" s="5" t="s">
        <v>39</v>
      </c>
      <c r="H10" t="str">
        <f t="shared" si="0"/>
        <v>Maya Siregar</v>
      </c>
      <c r="I10" t="str">
        <f t="shared" si="1"/>
        <v>maya.siregar@example.com</v>
      </c>
      <c r="J10" t="str">
        <f t="shared" si="2"/>
        <v>081801808367</v>
      </c>
      <c r="K10" t="str">
        <f t="shared" si="3"/>
        <v>Yogyakarta</v>
      </c>
      <c r="L10" t="str">
        <f t="shared" si="4"/>
        <v>Pending</v>
      </c>
      <c r="M10" t="str">
        <f t="shared" si="5"/>
        <v>10/04/2026</v>
      </c>
      <c r="N10" t="str">
        <f t="shared" si="6"/>
        <v>UNIQUE</v>
      </c>
      <c r="O10" t="str">
        <f t="shared" si="7"/>
        <v>KEEP</v>
      </c>
    </row>
    <row r="11" spans="1:16">
      <c r="A11" s="5" t="s">
        <v>77</v>
      </c>
      <c r="B11" s="5" t="s">
        <v>78</v>
      </c>
      <c r="C11" s="5" t="s">
        <v>79</v>
      </c>
      <c r="D11" s="5" t="s">
        <v>80</v>
      </c>
      <c r="E11" s="5" t="s">
        <v>57</v>
      </c>
      <c r="F11" s="5" t="s">
        <v>81</v>
      </c>
      <c r="G11" s="5" t="s">
        <v>32</v>
      </c>
      <c r="H11" t="str">
        <f t="shared" si="0"/>
        <v>Nadia Saputra</v>
      </c>
      <c r="I11" t="str">
        <f t="shared" si="1"/>
        <v>nadia.saputra@example.com</v>
      </c>
      <c r="J11" t="str">
        <f t="shared" si="2"/>
        <v>082293448329</v>
      </c>
      <c r="K11" t="str">
        <f t="shared" si="3"/>
        <v>Medan</v>
      </c>
      <c r="L11" t="str">
        <f t="shared" si="4"/>
        <v>Inactive</v>
      </c>
      <c r="M11" t="str">
        <f t="shared" si="5"/>
        <v>27/02/2026</v>
      </c>
      <c r="N11" t="str">
        <f t="shared" si="6"/>
        <v>UNIQUE</v>
      </c>
      <c r="O11" t="str">
        <f t="shared" si="7"/>
        <v>KEEP</v>
      </c>
    </row>
    <row r="12" spans="1:16">
      <c r="A12" s="5" t="s">
        <v>82</v>
      </c>
      <c r="B12" s="5" t="s">
        <v>83</v>
      </c>
      <c r="C12" s="5" t="s">
        <v>84</v>
      </c>
      <c r="D12" s="5" t="s">
        <v>85</v>
      </c>
      <c r="E12" s="5" t="s">
        <v>57</v>
      </c>
      <c r="F12" s="5" t="s">
        <v>73</v>
      </c>
      <c r="G12" s="5" t="s">
        <v>39</v>
      </c>
      <c r="H12" t="str">
        <f t="shared" si="0"/>
        <v>Intan Kurniawan</v>
      </c>
      <c r="I12" t="str">
        <f t="shared" si="1"/>
        <v>intan.kurniawan@example.com</v>
      </c>
      <c r="J12" t="str">
        <f t="shared" si="2"/>
        <v>086248968489</v>
      </c>
      <c r="K12" t="str">
        <f t="shared" si="3"/>
        <v>Medan</v>
      </c>
      <c r="L12" t="str">
        <f t="shared" si="4"/>
        <v>Pending</v>
      </c>
      <c r="M12" t="str">
        <f t="shared" si="5"/>
        <v>22/05/2026</v>
      </c>
      <c r="N12" t="str">
        <f t="shared" si="6"/>
        <v>UNIQUE</v>
      </c>
      <c r="O12" t="str">
        <f t="shared" si="7"/>
        <v>KEEP</v>
      </c>
    </row>
    <row r="13" spans="1:16">
      <c r="A13" s="5" t="s">
        <v>86</v>
      </c>
      <c r="B13" s="5" t="s">
        <v>87</v>
      </c>
      <c r="C13" s="5" t="s">
        <v>88</v>
      </c>
      <c r="D13" s="5" t="s">
        <v>89</v>
      </c>
      <c r="E13" s="5" t="s">
        <v>37</v>
      </c>
      <c r="F13" s="5" t="s">
        <v>90</v>
      </c>
      <c r="G13" s="5" t="s">
        <v>39</v>
      </c>
      <c r="H13" t="str">
        <f t="shared" si="0"/>
        <v>Gita Pratama</v>
      </c>
      <c r="I13" t="str">
        <f t="shared" si="1"/>
        <v>gita.pratama@example.com</v>
      </c>
      <c r="J13" t="str">
        <f t="shared" si="2"/>
        <v>088125211183</v>
      </c>
      <c r="K13" t="str">
        <f t="shared" si="3"/>
        <v>Malang</v>
      </c>
      <c r="L13" t="str">
        <f t="shared" si="4"/>
        <v>Pending</v>
      </c>
      <c r="M13" t="str">
        <f t="shared" si="5"/>
        <v>06/04/2026</v>
      </c>
      <c r="N13" t="str">
        <f t="shared" si="6"/>
        <v>UNIQUE</v>
      </c>
      <c r="O13" t="str">
        <f t="shared" si="7"/>
        <v>KEEP</v>
      </c>
    </row>
    <row r="14" spans="1:16">
      <c r="A14" s="5" t="s">
        <v>91</v>
      </c>
      <c r="B14" s="5" t="s">
        <v>87</v>
      </c>
      <c r="C14" s="5" t="s">
        <v>88</v>
      </c>
      <c r="D14" s="5" t="s">
        <v>92</v>
      </c>
      <c r="E14" s="5" t="s">
        <v>37</v>
      </c>
      <c r="F14" s="5" t="s">
        <v>93</v>
      </c>
      <c r="G14" s="5" t="s">
        <v>52</v>
      </c>
      <c r="H14" t="str">
        <f t="shared" si="0"/>
        <v>Gita Pratama</v>
      </c>
      <c r="I14" t="str">
        <f t="shared" si="1"/>
        <v>gita.pratama@example.com</v>
      </c>
      <c r="J14" t="str">
        <f t="shared" si="2"/>
        <v>082039042955</v>
      </c>
      <c r="K14" t="str">
        <f t="shared" si="3"/>
        <v>Malang</v>
      </c>
      <c r="L14" t="str">
        <f t="shared" si="4"/>
        <v>Active</v>
      </c>
      <c r="M14" t="str">
        <f t="shared" si="5"/>
        <v>12/05/2026</v>
      </c>
      <c r="N14" t="str">
        <f t="shared" si="6"/>
        <v>UNIQUE</v>
      </c>
      <c r="O14" t="str">
        <f t="shared" si="7"/>
        <v>KEEP</v>
      </c>
    </row>
    <row r="15" spans="1:16">
      <c r="A15" s="5" t="s">
        <v>94</v>
      </c>
      <c r="B15" s="5" t="s">
        <v>95</v>
      </c>
      <c r="C15" s="5" t="s">
        <v>96</v>
      </c>
      <c r="D15" s="5" t="s">
        <v>97</v>
      </c>
      <c r="E15" s="5" t="s">
        <v>30</v>
      </c>
      <c r="F15" s="5" t="s">
        <v>98</v>
      </c>
      <c r="G15" s="5" t="s">
        <v>32</v>
      </c>
      <c r="H15" t="str">
        <f t="shared" si="0"/>
        <v>Oscar Santoso</v>
      </c>
      <c r="I15" t="str">
        <f t="shared" si="1"/>
        <v>oscar.santoso@example.com</v>
      </c>
      <c r="J15" t="str">
        <f t="shared" si="2"/>
        <v>086338207270</v>
      </c>
      <c r="K15" t="str">
        <f t="shared" si="3"/>
        <v>Bekasi</v>
      </c>
      <c r="L15" t="str">
        <f t="shared" si="4"/>
        <v>Inactive</v>
      </c>
      <c r="M15" t="str">
        <f t="shared" si="5"/>
        <v>27/03/2026</v>
      </c>
      <c r="N15" t="str">
        <f t="shared" si="6"/>
        <v>UNIQUE</v>
      </c>
      <c r="O15" t="str">
        <f t="shared" si="7"/>
        <v>KEEP</v>
      </c>
    </row>
    <row r="16" spans="1:16">
      <c r="A16" s="5" t="s">
        <v>99</v>
      </c>
      <c r="B16" s="5" t="s">
        <v>100</v>
      </c>
      <c r="C16" s="5" t="s">
        <v>101</v>
      </c>
      <c r="D16" s="5" t="s">
        <v>102</v>
      </c>
      <c r="E16" s="5" t="s">
        <v>30</v>
      </c>
      <c r="F16" s="5" t="s">
        <v>103</v>
      </c>
      <c r="G16" s="5" t="s">
        <v>32</v>
      </c>
      <c r="H16" t="str">
        <f t="shared" si="0"/>
        <v>Eko Santoso</v>
      </c>
      <c r="I16" t="str">
        <f t="shared" si="1"/>
        <v>eko.santoso@example.com</v>
      </c>
      <c r="J16" t="str">
        <f t="shared" si="2"/>
        <v>085768366722</v>
      </c>
      <c r="K16" t="str">
        <f t="shared" si="3"/>
        <v>Bekasi</v>
      </c>
      <c r="L16" t="str">
        <f t="shared" si="4"/>
        <v>Inactive</v>
      </c>
      <c r="M16" t="str">
        <f t="shared" si="5"/>
        <v>21/04/2026</v>
      </c>
      <c r="N16" t="str">
        <f t="shared" si="6"/>
        <v>UNIQUE</v>
      </c>
      <c r="O16" t="str">
        <f t="shared" si="7"/>
        <v>KEEP</v>
      </c>
    </row>
    <row r="17" spans="1:15">
      <c r="A17" s="5" t="s">
        <v>104</v>
      </c>
      <c r="B17" s="5" t="s">
        <v>66</v>
      </c>
      <c r="C17" s="5" t="s">
        <v>67</v>
      </c>
      <c r="D17" s="5" t="s">
        <v>105</v>
      </c>
      <c r="E17" s="5" t="s">
        <v>44</v>
      </c>
      <c r="F17" s="5" t="s">
        <v>106</v>
      </c>
      <c r="G17" s="5" t="s">
        <v>32</v>
      </c>
      <c r="H17" t="str">
        <f t="shared" si="0"/>
        <v>Sari Lestari</v>
      </c>
      <c r="I17" t="str">
        <f t="shared" si="1"/>
        <v>sari.lestari@example.com</v>
      </c>
      <c r="J17" t="str">
        <f t="shared" si="2"/>
        <v>082822989659</v>
      </c>
      <c r="K17" t="str">
        <f t="shared" si="3"/>
        <v>Yogyakarta</v>
      </c>
      <c r="L17" t="str">
        <f t="shared" si="4"/>
        <v>Inactive</v>
      </c>
      <c r="M17" t="str">
        <f t="shared" si="5"/>
        <v>19/01/2026</v>
      </c>
      <c r="N17" t="str">
        <f t="shared" si="6"/>
        <v>UNIQUE</v>
      </c>
      <c r="O17" t="str">
        <f t="shared" si="7"/>
        <v>KEEP</v>
      </c>
    </row>
    <row r="18" spans="1:15">
      <c r="A18" s="5" t="s">
        <v>107</v>
      </c>
      <c r="B18" s="5" t="s">
        <v>100</v>
      </c>
      <c r="C18" s="5" t="s">
        <v>101</v>
      </c>
      <c r="D18" s="5" t="s">
        <v>108</v>
      </c>
      <c r="E18" s="5" t="s">
        <v>109</v>
      </c>
      <c r="F18" s="5" t="s">
        <v>110</v>
      </c>
      <c r="G18" s="5" t="s">
        <v>52</v>
      </c>
      <c r="H18" t="str">
        <f t="shared" si="0"/>
        <v>Eko Santoso</v>
      </c>
      <c r="I18" t="str">
        <f t="shared" si="1"/>
        <v>eko.santoso@example.com</v>
      </c>
      <c r="J18" t="str">
        <f t="shared" si="2"/>
        <v>084773561638</v>
      </c>
      <c r="K18" t="str">
        <f t="shared" si="3"/>
        <v>Surabaya</v>
      </c>
      <c r="L18" t="str">
        <f t="shared" si="4"/>
        <v>Active</v>
      </c>
      <c r="M18" t="str">
        <f t="shared" si="5"/>
        <v>28/01/2026</v>
      </c>
      <c r="N18" t="str">
        <f t="shared" si="6"/>
        <v>UNIQUE</v>
      </c>
      <c r="O18" t="str">
        <f t="shared" si="7"/>
        <v>KEEP</v>
      </c>
    </row>
    <row r="19" spans="1:15">
      <c r="A19" s="5" t="s">
        <v>111</v>
      </c>
      <c r="B19" s="5" t="s">
        <v>100</v>
      </c>
      <c r="C19" s="5" t="s">
        <v>101</v>
      </c>
      <c r="D19" s="5" t="s">
        <v>112</v>
      </c>
      <c r="E19" s="5" t="s">
        <v>30</v>
      </c>
      <c r="F19" s="5" t="s">
        <v>58</v>
      </c>
      <c r="G19" s="5" t="s">
        <v>39</v>
      </c>
      <c r="H19" t="str">
        <f t="shared" si="0"/>
        <v>Eko Santoso</v>
      </c>
      <c r="I19" t="str">
        <f t="shared" si="1"/>
        <v>eko.santoso@example.com</v>
      </c>
      <c r="J19" t="str">
        <f t="shared" si="2"/>
        <v>087235076551</v>
      </c>
      <c r="K19" t="str">
        <f t="shared" si="3"/>
        <v>Bekasi</v>
      </c>
      <c r="L19" t="str">
        <f t="shared" si="4"/>
        <v>Pending</v>
      </c>
      <c r="M19" t="str">
        <f t="shared" si="5"/>
        <v>01/06/2026</v>
      </c>
      <c r="N19" t="str">
        <f t="shared" si="6"/>
        <v>UNIQUE</v>
      </c>
      <c r="O19" t="str">
        <f t="shared" si="7"/>
        <v>KEEP</v>
      </c>
    </row>
    <row r="20" spans="1:15">
      <c r="A20" s="5" t="s">
        <v>113</v>
      </c>
      <c r="B20" s="5" t="s">
        <v>78</v>
      </c>
      <c r="C20" s="5" t="s">
        <v>79</v>
      </c>
      <c r="D20" s="5" t="s">
        <v>114</v>
      </c>
      <c r="E20" s="5" t="s">
        <v>57</v>
      </c>
      <c r="F20" s="5" t="s">
        <v>115</v>
      </c>
      <c r="G20" s="5" t="s">
        <v>52</v>
      </c>
      <c r="H20" t="str">
        <f t="shared" si="0"/>
        <v>Nadia Saputra</v>
      </c>
      <c r="I20" t="str">
        <f t="shared" si="1"/>
        <v>nadia.saputra@example.com</v>
      </c>
      <c r="J20" t="str">
        <f t="shared" si="2"/>
        <v>086554384371</v>
      </c>
      <c r="K20" t="str">
        <f t="shared" si="3"/>
        <v>Medan</v>
      </c>
      <c r="L20" t="str">
        <f t="shared" si="4"/>
        <v>Active</v>
      </c>
      <c r="M20" t="str">
        <f t="shared" si="5"/>
        <v>12/05/2026</v>
      </c>
      <c r="N20" t="str">
        <f t="shared" si="6"/>
        <v>UNIQUE</v>
      </c>
      <c r="O20" t="str">
        <f t="shared" si="7"/>
        <v>KEEP</v>
      </c>
    </row>
    <row r="21" spans="1:15">
      <c r="A21" s="5" t="s">
        <v>116</v>
      </c>
      <c r="B21" s="5" t="s">
        <v>117</v>
      </c>
      <c r="C21" s="5" t="s">
        <v>118</v>
      </c>
      <c r="D21" s="5" t="s">
        <v>119</v>
      </c>
      <c r="E21" s="5" t="s">
        <v>30</v>
      </c>
      <c r="F21" s="5" t="s">
        <v>103</v>
      </c>
      <c r="G21" s="5" t="s">
        <v>32</v>
      </c>
      <c r="H21" t="str">
        <f t="shared" si="0"/>
        <v>Joko Nugroho</v>
      </c>
      <c r="I21" t="str">
        <f t="shared" si="1"/>
        <v>joko.nugroho@example.com</v>
      </c>
      <c r="J21" t="str">
        <f t="shared" si="2"/>
        <v>083794860228</v>
      </c>
      <c r="K21" t="str">
        <f t="shared" si="3"/>
        <v>Bekasi</v>
      </c>
      <c r="L21" t="str">
        <f t="shared" si="4"/>
        <v>Inactive</v>
      </c>
      <c r="M21" t="str">
        <f t="shared" si="5"/>
        <v>21/04/2026</v>
      </c>
      <c r="N21" t="str">
        <f t="shared" si="6"/>
        <v>UNIQUE</v>
      </c>
      <c r="O21" t="str">
        <f t="shared" si="7"/>
        <v>KEEP</v>
      </c>
    </row>
    <row r="22" spans="1:15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63</v>
      </c>
      <c r="F22" s="5" t="s">
        <v>124</v>
      </c>
      <c r="G22" s="5" t="s">
        <v>125</v>
      </c>
      <c r="H22" t="str">
        <f t="shared" si="0"/>
        <v>Putri Permata</v>
      </c>
      <c r="I22" t="str">
        <f t="shared" si="1"/>
        <v>putri.permata@example.com</v>
      </c>
      <c r="J22" t="str">
        <f t="shared" si="2"/>
        <v>082731775357</v>
      </c>
      <c r="K22" t="str">
        <f t="shared" si="3"/>
        <v>Surabaya</v>
      </c>
      <c r="L22" t="str">
        <f t="shared" si="4"/>
        <v>Active</v>
      </c>
      <c r="M22" t="str">
        <f t="shared" si="5"/>
        <v>04/04/2026</v>
      </c>
      <c r="N22" t="str">
        <f t="shared" si="6"/>
        <v>UNIQUE</v>
      </c>
      <c r="O22" t="str">
        <f t="shared" si="7"/>
        <v>KEEP</v>
      </c>
    </row>
    <row r="23" spans="1:15">
      <c r="A23" s="5" t="s">
        <v>126</v>
      </c>
      <c r="B23" s="5" t="s">
        <v>117</v>
      </c>
      <c r="C23" s="5" t="s">
        <v>118</v>
      </c>
      <c r="D23" s="5" t="s">
        <v>127</v>
      </c>
      <c r="E23" s="5" t="s">
        <v>30</v>
      </c>
      <c r="F23" s="5" t="s">
        <v>128</v>
      </c>
      <c r="G23" s="5" t="s">
        <v>52</v>
      </c>
      <c r="H23" t="str">
        <f t="shared" si="0"/>
        <v>Joko Nugroho</v>
      </c>
      <c r="I23" t="str">
        <f t="shared" si="1"/>
        <v>joko.nugroho@example.com</v>
      </c>
      <c r="J23" t="str">
        <f t="shared" si="2"/>
        <v>082901823908</v>
      </c>
      <c r="K23" t="str">
        <f t="shared" si="3"/>
        <v>Bekasi</v>
      </c>
      <c r="L23" t="str">
        <f t="shared" si="4"/>
        <v>Active</v>
      </c>
      <c r="M23" t="str">
        <f t="shared" si="5"/>
        <v>27/04/2026</v>
      </c>
      <c r="N23" t="str">
        <f t="shared" si="6"/>
        <v>UNIQUE</v>
      </c>
      <c r="O23" t="str">
        <f t="shared" si="7"/>
        <v>KEEP</v>
      </c>
    </row>
    <row r="24" spans="1:15">
      <c r="A24" s="5" t="s">
        <v>129</v>
      </c>
      <c r="B24" s="5" t="s">
        <v>130</v>
      </c>
      <c r="C24" s="5" t="s">
        <v>131</v>
      </c>
      <c r="D24" s="5" t="s">
        <v>132</v>
      </c>
      <c r="E24" s="5" t="s">
        <v>37</v>
      </c>
      <c r="F24" s="5" t="s">
        <v>133</v>
      </c>
      <c r="G24" s="5" t="s">
        <v>32</v>
      </c>
      <c r="H24" t="str">
        <f t="shared" si="0"/>
        <v>Rina Pratama</v>
      </c>
      <c r="I24" t="str">
        <f t="shared" si="1"/>
        <v>rina.pratama@example.com</v>
      </c>
      <c r="J24" t="str">
        <f t="shared" si="2"/>
        <v>084739960595</v>
      </c>
      <c r="K24" t="str">
        <f t="shared" si="3"/>
        <v>Malang</v>
      </c>
      <c r="L24" t="str">
        <f t="shared" si="4"/>
        <v>Inactive</v>
      </c>
      <c r="M24" t="str">
        <f t="shared" si="5"/>
        <v>11/03/2026</v>
      </c>
      <c r="N24" t="str">
        <f t="shared" si="6"/>
        <v>UNIQUE</v>
      </c>
      <c r="O24" t="str">
        <f t="shared" si="7"/>
        <v>KEEP</v>
      </c>
    </row>
    <row r="25" spans="1:15">
      <c r="A25" s="5" t="s">
        <v>134</v>
      </c>
      <c r="B25" s="5" t="s">
        <v>135</v>
      </c>
      <c r="C25" s="5" t="s">
        <v>136</v>
      </c>
      <c r="D25" s="5" t="s">
        <v>137</v>
      </c>
      <c r="E25" s="5" t="s">
        <v>63</v>
      </c>
      <c r="F25" s="5" t="s">
        <v>138</v>
      </c>
      <c r="G25" s="5" t="s">
        <v>52</v>
      </c>
      <c r="H25" t="str">
        <f t="shared" si="0"/>
        <v>Kevin Wijaya</v>
      </c>
      <c r="I25" t="str">
        <f t="shared" si="1"/>
        <v>kevin.wijaya@example.com</v>
      </c>
      <c r="J25" t="str">
        <f t="shared" si="2"/>
        <v>088011165043</v>
      </c>
      <c r="K25" t="str">
        <f t="shared" si="3"/>
        <v>Surabaya</v>
      </c>
      <c r="L25" t="str">
        <f t="shared" si="4"/>
        <v>Active</v>
      </c>
      <c r="M25" t="str">
        <f t="shared" si="5"/>
        <v>15/02/2026</v>
      </c>
      <c r="N25" t="str">
        <f t="shared" si="6"/>
        <v>UNIQUE</v>
      </c>
      <c r="O25" t="str">
        <f t="shared" si="7"/>
        <v>KEEP</v>
      </c>
    </row>
    <row r="26" spans="1:15">
      <c r="A26" s="5" t="s">
        <v>139</v>
      </c>
      <c r="B26" s="5" t="s">
        <v>140</v>
      </c>
      <c r="C26" s="5" t="s">
        <v>131</v>
      </c>
      <c r="D26" s="5" t="s">
        <v>141</v>
      </c>
      <c r="E26" s="5" t="s">
        <v>37</v>
      </c>
      <c r="F26" s="5" t="s">
        <v>142</v>
      </c>
      <c r="G26" s="5" t="s">
        <v>52</v>
      </c>
      <c r="H26" t="str">
        <f t="shared" si="0"/>
        <v>Rina Pratama</v>
      </c>
      <c r="I26" t="str">
        <f t="shared" si="1"/>
        <v>rina.pratama@example.com</v>
      </c>
      <c r="J26" t="str">
        <f t="shared" si="2"/>
        <v>084629615275</v>
      </c>
      <c r="K26" t="str">
        <f t="shared" si="3"/>
        <v>Malang</v>
      </c>
      <c r="L26" t="str">
        <f t="shared" si="4"/>
        <v>Active</v>
      </c>
      <c r="M26" t="str">
        <f t="shared" si="5"/>
        <v>24/03/2026</v>
      </c>
      <c r="N26" t="str">
        <f t="shared" si="6"/>
        <v>UNIQUE</v>
      </c>
      <c r="O26" t="str">
        <f t="shared" si="7"/>
        <v>KEEP</v>
      </c>
    </row>
    <row r="27" spans="1:15">
      <c r="A27" s="5" t="s">
        <v>143</v>
      </c>
      <c r="B27" s="5" t="s">
        <v>60</v>
      </c>
      <c r="C27" s="5" t="s">
        <v>61</v>
      </c>
      <c r="D27" s="5" t="s">
        <v>144</v>
      </c>
      <c r="E27" s="5" t="s">
        <v>63</v>
      </c>
      <c r="F27" s="5" t="s">
        <v>145</v>
      </c>
      <c r="G27" s="5" t="s">
        <v>32</v>
      </c>
      <c r="H27" t="str">
        <f t="shared" si="0"/>
        <v>Fajar Permata</v>
      </c>
      <c r="I27" t="str">
        <f t="shared" si="1"/>
        <v>fajar.permata@example.com</v>
      </c>
      <c r="J27" t="str">
        <f t="shared" si="2"/>
        <v>082732629719</v>
      </c>
      <c r="K27" t="str">
        <f t="shared" si="3"/>
        <v>Surabaya</v>
      </c>
      <c r="L27" t="str">
        <f t="shared" si="4"/>
        <v>Inactive</v>
      </c>
      <c r="M27" t="str">
        <f t="shared" si="5"/>
        <v>29/04/2026</v>
      </c>
      <c r="N27" t="str">
        <f t="shared" si="6"/>
        <v>DUPLICATE</v>
      </c>
      <c r="O27" t="str">
        <f t="shared" si="7"/>
        <v>REVIEW</v>
      </c>
    </row>
    <row r="28" spans="1:15">
      <c r="A28" s="5" t="s">
        <v>146</v>
      </c>
      <c r="B28" s="5" t="s">
        <v>147</v>
      </c>
      <c r="C28" s="5" t="s">
        <v>148</v>
      </c>
      <c r="D28" s="5" t="s">
        <v>149</v>
      </c>
      <c r="E28" s="5" t="s">
        <v>37</v>
      </c>
      <c r="F28" s="5" t="s">
        <v>150</v>
      </c>
      <c r="G28" s="5" t="s">
        <v>39</v>
      </c>
      <c r="H28" t="str">
        <f t="shared" si="0"/>
        <v>Lina Hidayat</v>
      </c>
      <c r="I28" t="str">
        <f t="shared" si="1"/>
        <v>lina.hidayat@example.com</v>
      </c>
      <c r="J28" t="str">
        <f t="shared" si="2"/>
        <v>088654020107</v>
      </c>
      <c r="K28" t="str">
        <f t="shared" si="3"/>
        <v>Malang</v>
      </c>
      <c r="L28" t="str">
        <f t="shared" si="4"/>
        <v>Pending</v>
      </c>
      <c r="M28" t="str">
        <f t="shared" si="5"/>
        <v>12/02/2026</v>
      </c>
      <c r="N28" t="str">
        <f t="shared" si="6"/>
        <v>UNIQUE</v>
      </c>
      <c r="O28" t="str">
        <f t="shared" si="7"/>
        <v>KEEP</v>
      </c>
    </row>
    <row r="29" spans="1:15">
      <c r="A29" s="5" t="s">
        <v>151</v>
      </c>
      <c r="B29" s="5" t="s">
        <v>152</v>
      </c>
      <c r="C29" s="5" t="s">
        <v>153</v>
      </c>
      <c r="D29" s="5" t="s">
        <v>154</v>
      </c>
      <c r="E29" s="5" t="s">
        <v>63</v>
      </c>
      <c r="F29" s="5" t="s">
        <v>155</v>
      </c>
      <c r="G29" s="5" t="s">
        <v>52</v>
      </c>
      <c r="H29" t="str">
        <f t="shared" si="0"/>
        <v>Andi Wijaya</v>
      </c>
      <c r="I29" t="str">
        <f t="shared" si="1"/>
        <v>andi.wijaya@example.com</v>
      </c>
      <c r="J29" t="str">
        <f t="shared" si="2"/>
        <v>083846317213</v>
      </c>
      <c r="K29" t="str">
        <f t="shared" si="3"/>
        <v>Surabaya</v>
      </c>
      <c r="L29" t="str">
        <f t="shared" si="4"/>
        <v>Active</v>
      </c>
      <c r="M29" t="str">
        <f t="shared" si="5"/>
        <v>09/01/2026</v>
      </c>
      <c r="N29" t="str">
        <f t="shared" si="6"/>
        <v>UNIQUE</v>
      </c>
      <c r="O29" t="str">
        <f t="shared" si="7"/>
        <v>KEEP</v>
      </c>
    </row>
    <row r="30" spans="1:15">
      <c r="A30" s="5" t="s">
        <v>156</v>
      </c>
      <c r="B30" s="5" t="s">
        <v>87</v>
      </c>
      <c r="C30" s="5" t="s">
        <v>88</v>
      </c>
      <c r="D30" s="5" t="s">
        <v>157</v>
      </c>
      <c r="E30" s="5" t="s">
        <v>37</v>
      </c>
      <c r="F30" s="5" t="s">
        <v>158</v>
      </c>
      <c r="G30" s="5" t="s">
        <v>32</v>
      </c>
      <c r="H30" t="str">
        <f t="shared" si="0"/>
        <v>Gita Pratama</v>
      </c>
      <c r="I30" t="str">
        <f t="shared" si="1"/>
        <v>gita.pratama@example.com</v>
      </c>
      <c r="J30" t="str">
        <f t="shared" si="2"/>
        <v>085989097604</v>
      </c>
      <c r="K30" t="str">
        <f t="shared" si="3"/>
        <v>Malang</v>
      </c>
      <c r="L30" t="str">
        <f t="shared" si="4"/>
        <v>Inactive</v>
      </c>
      <c r="M30" t="str">
        <f t="shared" si="5"/>
        <v>09/05/2026</v>
      </c>
      <c r="N30" t="str">
        <f t="shared" si="6"/>
        <v>UNIQUE</v>
      </c>
      <c r="O30" t="str">
        <f t="shared" si="7"/>
        <v>KEEP</v>
      </c>
    </row>
    <row r="31" spans="1:15">
      <c r="A31" s="5" t="s">
        <v>159</v>
      </c>
      <c r="B31" s="5" t="s">
        <v>41</v>
      </c>
      <c r="C31" s="5" t="s">
        <v>42</v>
      </c>
      <c r="D31" s="5" t="s">
        <v>160</v>
      </c>
      <c r="E31" s="5" t="s">
        <v>44</v>
      </c>
      <c r="F31" s="5" t="s">
        <v>161</v>
      </c>
      <c r="G31" s="5"/>
      <c r="H31" t="str">
        <f t="shared" si="0"/>
        <v>Hendra Lestari</v>
      </c>
      <c r="I31" t="str">
        <f t="shared" si="1"/>
        <v>hendra.lestari@example.com</v>
      </c>
      <c r="J31" t="str">
        <f t="shared" si="2"/>
        <v>081798594025</v>
      </c>
      <c r="K31" t="str">
        <f t="shared" si="3"/>
        <v>Yogyakarta</v>
      </c>
      <c r="L31" t="str">
        <f t="shared" si="4"/>
        <v/>
      </c>
      <c r="M31" t="str">
        <f t="shared" si="5"/>
        <v>03/04/2026</v>
      </c>
      <c r="N31" t="str">
        <f t="shared" si="6"/>
        <v>UNIQUE</v>
      </c>
      <c r="O31" t="str">
        <f t="shared" si="7"/>
        <v>KEEP</v>
      </c>
    </row>
    <row r="32" spans="1:15">
      <c r="A32" s="5" t="s">
        <v>162</v>
      </c>
      <c r="B32" s="5" t="s">
        <v>147</v>
      </c>
      <c r="C32" s="5" t="s">
        <v>148</v>
      </c>
      <c r="D32" s="5" t="s">
        <v>163</v>
      </c>
      <c r="E32" s="5" t="s">
        <v>37</v>
      </c>
      <c r="F32" s="5" t="s">
        <v>164</v>
      </c>
      <c r="G32" s="5" t="s">
        <v>32</v>
      </c>
      <c r="H32" t="str">
        <f t="shared" si="0"/>
        <v>Lina Hidayat</v>
      </c>
      <c r="I32" t="str">
        <f t="shared" si="1"/>
        <v>lina.hidayat@example.com</v>
      </c>
      <c r="J32" t="str">
        <f t="shared" si="2"/>
        <v>087689080583</v>
      </c>
      <c r="K32" t="str">
        <f t="shared" si="3"/>
        <v>Malang</v>
      </c>
      <c r="L32" t="str">
        <f t="shared" si="4"/>
        <v>Inactive</v>
      </c>
      <c r="M32" t="str">
        <f t="shared" si="5"/>
        <v>06/03/2026</v>
      </c>
      <c r="N32" t="str">
        <f t="shared" si="6"/>
        <v>UNIQUE</v>
      </c>
      <c r="O32" t="str">
        <f t="shared" si="7"/>
        <v>KEEP</v>
      </c>
    </row>
    <row r="33" spans="1:15">
      <c r="A33" s="5" t="s">
        <v>165</v>
      </c>
      <c r="B33" s="5" t="s">
        <v>27</v>
      </c>
      <c r="C33" s="5" t="s">
        <v>166</v>
      </c>
      <c r="D33" s="5" t="s">
        <v>167</v>
      </c>
      <c r="E33" s="5" t="s">
        <v>30</v>
      </c>
      <c r="F33" s="5" t="s">
        <v>168</v>
      </c>
      <c r="G33" s="5" t="s">
        <v>52</v>
      </c>
      <c r="H33" t="str">
        <f t="shared" si="0"/>
        <v>Vina Nugroho</v>
      </c>
      <c r="I33" t="str">
        <f t="shared" si="1"/>
        <v>rina..example.com</v>
      </c>
      <c r="J33" t="str">
        <f t="shared" si="2"/>
        <v>082451531223</v>
      </c>
      <c r="K33" t="str">
        <f t="shared" si="3"/>
        <v>Bekasi</v>
      </c>
      <c r="L33" t="str">
        <f t="shared" si="4"/>
        <v>Active</v>
      </c>
      <c r="M33" t="str">
        <f t="shared" si="5"/>
        <v>10/05/2026</v>
      </c>
      <c r="N33" t="str">
        <f t="shared" si="6"/>
        <v>UNIQUE</v>
      </c>
      <c r="O33" t="str">
        <f t="shared" si="7"/>
        <v>KEEP</v>
      </c>
    </row>
    <row r="34" spans="1:15">
      <c r="A34" s="5" t="s">
        <v>169</v>
      </c>
      <c r="B34" s="5" t="s">
        <v>117</v>
      </c>
      <c r="C34" s="5" t="s">
        <v>118</v>
      </c>
      <c r="D34" s="5" t="s">
        <v>170</v>
      </c>
      <c r="E34" s="5" t="s">
        <v>30</v>
      </c>
      <c r="F34" s="5" t="s">
        <v>171</v>
      </c>
      <c r="G34" s="5" t="s">
        <v>39</v>
      </c>
      <c r="H34" t="str">
        <f t="shared" si="0"/>
        <v>Joko Nugroho</v>
      </c>
      <c r="I34" t="str">
        <f t="shared" si="1"/>
        <v>joko.nugroho@example.com</v>
      </c>
      <c r="J34" t="str">
        <f t="shared" si="2"/>
        <v>088409262590</v>
      </c>
      <c r="K34" t="str">
        <f t="shared" si="3"/>
        <v>Bekasi</v>
      </c>
      <c r="L34" t="str">
        <f t="shared" si="4"/>
        <v>Pending</v>
      </c>
      <c r="M34" t="str">
        <f t="shared" si="5"/>
        <v>21/01/2026</v>
      </c>
      <c r="N34" t="str">
        <f t="shared" si="6"/>
        <v>UNIQUE</v>
      </c>
      <c r="O34" t="str">
        <f t="shared" si="7"/>
        <v>KEEP</v>
      </c>
    </row>
    <row r="35" spans="1:15">
      <c r="A35" s="5" t="s">
        <v>172</v>
      </c>
      <c r="B35" s="5" t="s">
        <v>60</v>
      </c>
      <c r="C35" s="5" t="s">
        <v>61</v>
      </c>
      <c r="D35" s="5" t="s">
        <v>173</v>
      </c>
      <c r="E35" s="5" t="s">
        <v>63</v>
      </c>
      <c r="F35" s="5" t="s">
        <v>174</v>
      </c>
      <c r="G35" s="5" t="s">
        <v>175</v>
      </c>
      <c r="H35" t="str">
        <f t="shared" si="0"/>
        <v>Fajar Permata</v>
      </c>
      <c r="I35" t="str">
        <f t="shared" si="1"/>
        <v>fajar.permata@example.com</v>
      </c>
      <c r="J35" t="str">
        <f t="shared" si="2"/>
        <v>082815412119</v>
      </c>
      <c r="K35" t="str">
        <f t="shared" si="3"/>
        <v>Surabaya</v>
      </c>
      <c r="L35" t="str">
        <f t="shared" si="4"/>
        <v>Inactive</v>
      </c>
      <c r="M35" t="str">
        <f t="shared" si="5"/>
        <v>28/02/2026</v>
      </c>
      <c r="N35" t="str">
        <f t="shared" si="6"/>
        <v>UNIQUE</v>
      </c>
      <c r="O35" t="str">
        <f t="shared" si="7"/>
        <v>KEEP</v>
      </c>
    </row>
    <row r="36" spans="1:15">
      <c r="A36" s="5" t="s">
        <v>176</v>
      </c>
      <c r="B36" s="5" t="s">
        <v>34</v>
      </c>
      <c r="C36" s="5" t="s">
        <v>35</v>
      </c>
      <c r="D36" s="5" t="s">
        <v>177</v>
      </c>
      <c r="E36" s="5" t="s">
        <v>37</v>
      </c>
      <c r="F36" s="5" t="s">
        <v>164</v>
      </c>
      <c r="G36" s="5" t="s">
        <v>32</v>
      </c>
      <c r="H36" t="str">
        <f t="shared" si="0"/>
        <v>Budi Hidayat</v>
      </c>
      <c r="I36" t="str">
        <f t="shared" si="1"/>
        <v>budi.hidayat@example.com</v>
      </c>
      <c r="J36" t="str">
        <f t="shared" si="2"/>
        <v>084284935163</v>
      </c>
      <c r="K36" t="str">
        <f t="shared" si="3"/>
        <v>Malang</v>
      </c>
      <c r="L36" t="str">
        <f t="shared" si="4"/>
        <v>Inactive</v>
      </c>
      <c r="M36" t="str">
        <f t="shared" si="5"/>
        <v>06/03/2026</v>
      </c>
      <c r="N36" t="str">
        <f t="shared" si="6"/>
        <v>UNIQUE</v>
      </c>
      <c r="O36" t="str">
        <f t="shared" si="7"/>
        <v>KEEP</v>
      </c>
    </row>
    <row r="37" spans="1:15">
      <c r="A37" s="5" t="s">
        <v>178</v>
      </c>
      <c r="B37" s="5" t="s">
        <v>34</v>
      </c>
      <c r="C37" s="5" t="s">
        <v>179</v>
      </c>
      <c r="D37" s="5" t="s">
        <v>180</v>
      </c>
      <c r="E37" s="5" t="s">
        <v>37</v>
      </c>
      <c r="F37" s="5" t="s">
        <v>181</v>
      </c>
      <c r="G37" s="5" t="s">
        <v>52</v>
      </c>
      <c r="H37" t="str">
        <f t="shared" si="0"/>
        <v>Budi Hidayat</v>
      </c>
      <c r="I37" t="str">
        <f t="shared" si="1"/>
        <v>budi.hidayat@example.com</v>
      </c>
      <c r="J37" t="str">
        <f t="shared" si="2"/>
        <v>083579708607</v>
      </c>
      <c r="K37" t="str">
        <f t="shared" si="3"/>
        <v>Malang</v>
      </c>
      <c r="L37" t="str">
        <f t="shared" si="4"/>
        <v>Active</v>
      </c>
      <c r="M37" t="str">
        <f t="shared" si="5"/>
        <v>20/01/2026</v>
      </c>
      <c r="N37" t="str">
        <f t="shared" si="6"/>
        <v>UNIQUE</v>
      </c>
      <c r="O37" t="str">
        <f t="shared" si="7"/>
        <v>KEEP</v>
      </c>
    </row>
    <row r="38" spans="1:1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44</v>
      </c>
      <c r="F38" s="5" t="s">
        <v>186</v>
      </c>
      <c r="G38" s="5" t="s">
        <v>39</v>
      </c>
      <c r="H38" t="str">
        <f t="shared" si="0"/>
        <v>Citra Siregar</v>
      </c>
      <c r="I38" t="str">
        <f t="shared" si="1"/>
        <v>citra.siregar@example.com</v>
      </c>
      <c r="J38" t="str">
        <f t="shared" si="2"/>
        <v>082058682846</v>
      </c>
      <c r="K38" t="str">
        <f t="shared" si="3"/>
        <v>Yogyakarta</v>
      </c>
      <c r="L38" t="str">
        <f t="shared" si="4"/>
        <v>Pending</v>
      </c>
      <c r="M38" t="str">
        <f t="shared" si="5"/>
        <v>29/01/2026</v>
      </c>
      <c r="N38" t="str">
        <f t="shared" si="6"/>
        <v>UNIQUE</v>
      </c>
      <c r="O38" t="str">
        <f t="shared" si="7"/>
        <v>KEEP</v>
      </c>
    </row>
    <row r="39" spans="1:15">
      <c r="A39" s="5" t="s">
        <v>187</v>
      </c>
      <c r="B39" s="5" t="s">
        <v>152</v>
      </c>
      <c r="C39" s="5" t="s">
        <v>153</v>
      </c>
      <c r="D39" s="5" t="s">
        <v>188</v>
      </c>
      <c r="E39" s="5" t="s">
        <v>63</v>
      </c>
      <c r="F39" s="5" t="s">
        <v>69</v>
      </c>
      <c r="G39" s="5" t="s">
        <v>32</v>
      </c>
      <c r="H39" t="str">
        <f t="shared" si="0"/>
        <v>Andi Wijaya</v>
      </c>
      <c r="I39" t="str">
        <f t="shared" si="1"/>
        <v>andi.wijaya@example.com</v>
      </c>
      <c r="J39" t="str">
        <f t="shared" si="2"/>
        <v>087094193360</v>
      </c>
      <c r="K39" t="str">
        <f t="shared" si="3"/>
        <v>Surabaya</v>
      </c>
      <c r="L39" t="str">
        <f t="shared" si="4"/>
        <v>Inactive</v>
      </c>
      <c r="M39" t="str">
        <f t="shared" si="5"/>
        <v>30/04/2026</v>
      </c>
      <c r="N39" t="str">
        <f t="shared" si="6"/>
        <v>UNIQUE</v>
      </c>
      <c r="O39" t="str">
        <f t="shared" si="7"/>
        <v>KEEP</v>
      </c>
    </row>
    <row r="40" spans="1:15">
      <c r="A40" s="5" t="s">
        <v>189</v>
      </c>
      <c r="B40" s="5" t="s">
        <v>121</v>
      </c>
      <c r="C40" s="5" t="s">
        <v>122</v>
      </c>
      <c r="D40" s="5" t="s">
        <v>190</v>
      </c>
      <c r="E40" s="5" t="s">
        <v>63</v>
      </c>
      <c r="F40" s="5" t="s">
        <v>191</v>
      </c>
      <c r="G40" s="5" t="s">
        <v>39</v>
      </c>
      <c r="H40" t="str">
        <f t="shared" si="0"/>
        <v>Putri Permata</v>
      </c>
      <c r="I40" t="str">
        <f t="shared" si="1"/>
        <v>putri.permata@example.com</v>
      </c>
      <c r="J40" t="str">
        <f t="shared" si="2"/>
        <v>084432894265</v>
      </c>
      <c r="K40" t="str">
        <f t="shared" si="3"/>
        <v>Surabaya</v>
      </c>
      <c r="L40" t="str">
        <f t="shared" si="4"/>
        <v>Pending</v>
      </c>
      <c r="M40" t="str">
        <f t="shared" si="5"/>
        <v>02/03/2026</v>
      </c>
      <c r="N40" t="str">
        <f t="shared" si="6"/>
        <v>UNIQUE</v>
      </c>
      <c r="O40" t="str">
        <f t="shared" si="7"/>
        <v>KEEP</v>
      </c>
    </row>
    <row r="41" spans="1:15">
      <c r="A41" s="5" t="s">
        <v>192</v>
      </c>
      <c r="B41" s="5" t="s">
        <v>54</v>
      </c>
      <c r="C41" s="5" t="s">
        <v>55</v>
      </c>
      <c r="D41" s="5" t="s">
        <v>193</v>
      </c>
      <c r="E41" s="5" t="s">
        <v>57</v>
      </c>
      <c r="F41" s="5" t="s">
        <v>194</v>
      </c>
      <c r="G41" s="5" t="s">
        <v>39</v>
      </c>
      <c r="H41" t="str">
        <f t="shared" si="0"/>
        <v>Dewi Saputra</v>
      </c>
      <c r="I41" t="str">
        <f t="shared" si="1"/>
        <v>dewi.saputra@example.com</v>
      </c>
      <c r="J41" t="str">
        <f t="shared" si="2"/>
        <v>084420303242</v>
      </c>
      <c r="K41" t="str">
        <f t="shared" si="3"/>
        <v>Medan</v>
      </c>
      <c r="L41" t="str">
        <f t="shared" si="4"/>
        <v>Pending</v>
      </c>
      <c r="M41" t="str">
        <f t="shared" si="5"/>
        <v>23/01/2026</v>
      </c>
      <c r="N41" t="str">
        <f t="shared" si="6"/>
        <v>UNIQUE</v>
      </c>
      <c r="O41" t="str">
        <f t="shared" si="7"/>
        <v>KEEP</v>
      </c>
    </row>
    <row r="42" spans="1:15">
      <c r="A42" s="5" t="s">
        <v>195</v>
      </c>
      <c r="B42" s="5" t="s">
        <v>83</v>
      </c>
      <c r="C42" s="5" t="s">
        <v>84</v>
      </c>
      <c r="D42" s="5"/>
      <c r="E42" s="5" t="s">
        <v>57</v>
      </c>
      <c r="F42" s="5" t="s">
        <v>196</v>
      </c>
      <c r="G42" s="5" t="s">
        <v>52</v>
      </c>
      <c r="H42" t="str">
        <f t="shared" si="0"/>
        <v>Intan Kurniawan</v>
      </c>
      <c r="I42" t="str">
        <f t="shared" si="1"/>
        <v>intan.kurniawan@example.com</v>
      </c>
      <c r="J42" t="str">
        <f t="shared" si="2"/>
        <v/>
      </c>
      <c r="K42" t="str">
        <f t="shared" si="3"/>
        <v>Medan</v>
      </c>
      <c r="L42" t="str">
        <f t="shared" si="4"/>
        <v>Active</v>
      </c>
      <c r="M42" t="str">
        <f t="shared" si="5"/>
        <v>11/02/2026</v>
      </c>
      <c r="N42" t="str">
        <f t="shared" si="6"/>
        <v>UNIQUE</v>
      </c>
      <c r="O42" t="str">
        <f t="shared" si="7"/>
        <v>KEEP</v>
      </c>
    </row>
    <row r="43" spans="1:15">
      <c r="A43" s="5" t="s">
        <v>197</v>
      </c>
      <c r="B43" s="5" t="s">
        <v>135</v>
      </c>
      <c r="C43" s="5" t="s">
        <v>136</v>
      </c>
      <c r="D43" s="5" t="s">
        <v>198</v>
      </c>
      <c r="E43" s="5" t="s">
        <v>63</v>
      </c>
      <c r="F43" s="5" t="s">
        <v>199</v>
      </c>
      <c r="G43" s="5" t="s">
        <v>32</v>
      </c>
      <c r="H43" t="str">
        <f t="shared" si="0"/>
        <v>Kevin Wijaya</v>
      </c>
      <c r="I43" t="str">
        <f t="shared" si="1"/>
        <v>kevin.wijaya@example.com</v>
      </c>
      <c r="J43" t="str">
        <f t="shared" si="2"/>
        <v>08136308176844</v>
      </c>
      <c r="K43" t="str">
        <f t="shared" si="3"/>
        <v>Surabaya</v>
      </c>
      <c r="L43" t="str">
        <f t="shared" si="4"/>
        <v>Inactive</v>
      </c>
      <c r="M43" t="str">
        <f t="shared" si="5"/>
        <v>04/01/2026</v>
      </c>
      <c r="N43" t="str">
        <f t="shared" si="6"/>
        <v>UNIQUE</v>
      </c>
      <c r="O43" t="str">
        <f t="shared" si="7"/>
        <v>KEEP</v>
      </c>
    </row>
    <row r="44" spans="1:15">
      <c r="A44" s="5" t="s">
        <v>200</v>
      </c>
      <c r="B44" s="5" t="s">
        <v>183</v>
      </c>
      <c r="C44" s="5" t="s">
        <v>184</v>
      </c>
      <c r="D44" s="5" t="s">
        <v>201</v>
      </c>
      <c r="E44" s="5" t="s">
        <v>44</v>
      </c>
      <c r="F44" s="5" t="s">
        <v>191</v>
      </c>
      <c r="G44" s="5" t="s">
        <v>32</v>
      </c>
      <c r="H44" t="str">
        <f t="shared" si="0"/>
        <v>Citra Siregar</v>
      </c>
      <c r="I44" t="str">
        <f t="shared" si="1"/>
        <v>citra.siregar@example.com</v>
      </c>
      <c r="J44" t="str">
        <f t="shared" si="2"/>
        <v>085591781529</v>
      </c>
      <c r="K44" t="str">
        <f t="shared" si="3"/>
        <v>Yogyakarta</v>
      </c>
      <c r="L44" t="str">
        <f t="shared" si="4"/>
        <v>Inactive</v>
      </c>
      <c r="M44" t="str">
        <f t="shared" si="5"/>
        <v>02/03/2026</v>
      </c>
      <c r="N44" t="str">
        <f t="shared" si="6"/>
        <v>UNIQUE</v>
      </c>
      <c r="O44" t="str">
        <f t="shared" si="7"/>
        <v>KEEP</v>
      </c>
    </row>
    <row r="45" spans="1:15">
      <c r="A45" s="5" t="s">
        <v>202</v>
      </c>
      <c r="B45" s="5" t="s">
        <v>203</v>
      </c>
      <c r="C45" s="5" t="s">
        <v>204</v>
      </c>
      <c r="D45" s="5" t="s">
        <v>205</v>
      </c>
      <c r="E45" s="5" t="s">
        <v>57</v>
      </c>
      <c r="F45" s="5" t="s">
        <v>206</v>
      </c>
      <c r="G45" s="5" t="s">
        <v>52</v>
      </c>
      <c r="H45" t="str">
        <f t="shared" si="0"/>
        <v>Tono Kurniawan</v>
      </c>
      <c r="I45" t="str">
        <f t="shared" si="1"/>
        <v>tono.kurniawan@example.com</v>
      </c>
      <c r="J45" t="str">
        <f t="shared" si="2"/>
        <v>083403082117</v>
      </c>
      <c r="K45" t="str">
        <f t="shared" si="3"/>
        <v>Medan</v>
      </c>
      <c r="L45" t="str">
        <f t="shared" si="4"/>
        <v>Active</v>
      </c>
      <c r="M45" t="str">
        <f t="shared" si="5"/>
        <v>09/04/2026</v>
      </c>
      <c r="N45" t="str">
        <f t="shared" si="6"/>
        <v>UNIQUE</v>
      </c>
      <c r="O45" t="str">
        <f t="shared" si="7"/>
        <v>KEEP</v>
      </c>
    </row>
    <row r="46" spans="1:15">
      <c r="A46" s="5" t="s">
        <v>207</v>
      </c>
      <c r="B46" s="5" t="s">
        <v>60</v>
      </c>
      <c r="C46" s="5" t="s">
        <v>208</v>
      </c>
      <c r="D46" s="5" t="s">
        <v>144</v>
      </c>
      <c r="E46" s="5" t="s">
        <v>63</v>
      </c>
      <c r="F46" s="5" t="s">
        <v>145</v>
      </c>
      <c r="G46" s="5" t="s">
        <v>32</v>
      </c>
      <c r="H46" t="str">
        <f t="shared" si="0"/>
        <v>Fajar Permata</v>
      </c>
      <c r="I46" t="str">
        <f t="shared" si="1"/>
        <v>fajar.permata@example.com</v>
      </c>
      <c r="J46" t="str">
        <f t="shared" si="2"/>
        <v>082732629719</v>
      </c>
      <c r="K46" t="str">
        <f t="shared" si="3"/>
        <v>Surabaya</v>
      </c>
      <c r="L46" t="str">
        <f t="shared" si="4"/>
        <v>Inactive</v>
      </c>
      <c r="M46" t="str">
        <f t="shared" si="5"/>
        <v>29/04/2026</v>
      </c>
      <c r="N46" t="str">
        <f t="shared" si="6"/>
        <v>DUPLICATE</v>
      </c>
      <c r="O46" t="str">
        <f t="shared" si="7"/>
        <v>REVIEW</v>
      </c>
    </row>
    <row r="47" spans="1:15">
      <c r="A47" s="5" t="s">
        <v>209</v>
      </c>
      <c r="B47" s="5" t="s">
        <v>152</v>
      </c>
      <c r="C47" s="5" t="s">
        <v>153</v>
      </c>
      <c r="D47" s="5" t="s">
        <v>210</v>
      </c>
      <c r="E47" s="5" t="s">
        <v>63</v>
      </c>
      <c r="F47" s="5" t="s">
        <v>211</v>
      </c>
      <c r="G47" s="5" t="s">
        <v>39</v>
      </c>
      <c r="H47" t="str">
        <f t="shared" si="0"/>
        <v>Andi Wijaya</v>
      </c>
      <c r="I47" t="str">
        <f t="shared" si="1"/>
        <v>andi.wijaya@example.com</v>
      </c>
      <c r="J47" t="str">
        <f t="shared" si="2"/>
        <v>088957233202</v>
      </c>
      <c r="K47" t="str">
        <f t="shared" si="3"/>
        <v>Surabaya</v>
      </c>
      <c r="L47" t="str">
        <f t="shared" si="4"/>
        <v>Pending</v>
      </c>
      <c r="M47" t="str">
        <f t="shared" si="5"/>
        <v>05/04/2026</v>
      </c>
      <c r="N47" t="str">
        <f t="shared" si="6"/>
        <v>UNIQUE</v>
      </c>
      <c r="O47" t="str">
        <f t="shared" si="7"/>
        <v>KEEP</v>
      </c>
    </row>
    <row r="48" spans="1:15">
      <c r="A48" s="5" t="s">
        <v>212</v>
      </c>
      <c r="B48" s="5" t="s">
        <v>41</v>
      </c>
      <c r="C48" s="5" t="s">
        <v>213</v>
      </c>
      <c r="D48" s="5" t="s">
        <v>214</v>
      </c>
      <c r="E48" s="5" t="s">
        <v>44</v>
      </c>
      <c r="F48" s="5" t="s">
        <v>215</v>
      </c>
      <c r="G48" s="5" t="s">
        <v>32</v>
      </c>
      <c r="H48" t="str">
        <f t="shared" si="0"/>
        <v>Hendra Lestari</v>
      </c>
      <c r="I48" t="str">
        <f t="shared" si="1"/>
        <v>hendra.lestari@example.com</v>
      </c>
      <c r="J48" t="str">
        <f t="shared" si="2"/>
        <v>083685650756</v>
      </c>
      <c r="K48" t="str">
        <f t="shared" si="3"/>
        <v>Yogyakarta</v>
      </c>
      <c r="L48" t="str">
        <f t="shared" si="4"/>
        <v>Inactive</v>
      </c>
      <c r="M48" t="str">
        <f t="shared" si="5"/>
        <v>26/05/2026</v>
      </c>
      <c r="N48" t="str">
        <f t="shared" si="6"/>
        <v>UNIQUE</v>
      </c>
      <c r="O48" t="str">
        <f t="shared" si="7"/>
        <v>KEEP</v>
      </c>
    </row>
    <row r="49" spans="1:15">
      <c r="A49" s="5" t="s">
        <v>216</v>
      </c>
      <c r="B49" s="5" t="s">
        <v>183</v>
      </c>
      <c r="C49" s="5" t="s">
        <v>184</v>
      </c>
      <c r="D49" s="5" t="s">
        <v>217</v>
      </c>
      <c r="E49" s="5"/>
      <c r="F49" s="5" t="s">
        <v>215</v>
      </c>
      <c r="G49" s="5" t="s">
        <v>52</v>
      </c>
      <c r="H49" t="str">
        <f t="shared" si="0"/>
        <v>Citra Siregar</v>
      </c>
      <c r="I49" t="str">
        <f t="shared" si="1"/>
        <v>citra.siregar@example.com</v>
      </c>
      <c r="J49" t="str">
        <f t="shared" si="2"/>
        <v>086454224376</v>
      </c>
      <c r="K49" t="str">
        <f t="shared" si="3"/>
        <v/>
      </c>
      <c r="L49" t="str">
        <f t="shared" si="4"/>
        <v>Active</v>
      </c>
      <c r="M49" t="str">
        <f t="shared" si="5"/>
        <v>26/05/2026</v>
      </c>
      <c r="N49" t="str">
        <f t="shared" si="6"/>
        <v>UNIQUE</v>
      </c>
      <c r="O49" t="str">
        <f t="shared" si="7"/>
        <v>KEEP</v>
      </c>
    </row>
    <row r="50" spans="1:15">
      <c r="A50" s="5" t="s">
        <v>218</v>
      </c>
      <c r="B50" s="5" t="s">
        <v>95</v>
      </c>
      <c r="C50" s="5" t="s">
        <v>96</v>
      </c>
      <c r="D50" s="5" t="s">
        <v>219</v>
      </c>
      <c r="E50" s="5" t="s">
        <v>30</v>
      </c>
      <c r="F50" s="5" t="s">
        <v>64</v>
      </c>
      <c r="G50" s="5" t="s">
        <v>39</v>
      </c>
      <c r="H50" t="str">
        <f t="shared" si="0"/>
        <v>Oscar Santoso</v>
      </c>
      <c r="I50" t="str">
        <f t="shared" si="1"/>
        <v>oscar.santoso@example.com</v>
      </c>
      <c r="J50" t="str">
        <f t="shared" si="2"/>
        <v>082545662585</v>
      </c>
      <c r="K50" t="str">
        <f t="shared" si="3"/>
        <v>Bekasi</v>
      </c>
      <c r="L50" t="str">
        <f t="shared" si="4"/>
        <v>Pending</v>
      </c>
      <c r="M50" t="str">
        <f t="shared" si="5"/>
        <v>26/01/2026</v>
      </c>
      <c r="N50" t="str">
        <f t="shared" si="6"/>
        <v>UNIQUE</v>
      </c>
      <c r="O50" t="str">
        <f t="shared" si="7"/>
        <v>KEEP</v>
      </c>
    </row>
    <row r="51" spans="1:15">
      <c r="A51" s="5" t="s">
        <v>220</v>
      </c>
      <c r="B51" s="5" t="s">
        <v>83</v>
      </c>
      <c r="C51" s="5" t="s">
        <v>84</v>
      </c>
      <c r="D51" s="5" t="s">
        <v>221</v>
      </c>
      <c r="E51" s="5" t="s">
        <v>57</v>
      </c>
      <c r="F51" s="5" t="s">
        <v>222</v>
      </c>
      <c r="G51" s="5" t="s">
        <v>32</v>
      </c>
      <c r="H51" t="str">
        <f t="shared" si="0"/>
        <v>Intan Kurniawan</v>
      </c>
      <c r="I51" t="str">
        <f t="shared" si="1"/>
        <v>intan.kurniawan@example.com</v>
      </c>
      <c r="J51" t="str">
        <f t="shared" si="2"/>
        <v>086294793134</v>
      </c>
      <c r="K51" t="str">
        <f t="shared" si="3"/>
        <v>Medan</v>
      </c>
      <c r="L51" t="str">
        <f t="shared" si="4"/>
        <v>Inactive</v>
      </c>
      <c r="M51" t="str">
        <f t="shared" si="5"/>
        <v>12/03/2026</v>
      </c>
      <c r="N51" t="str">
        <f t="shared" si="6"/>
        <v>UNIQUE</v>
      </c>
      <c r="O51" t="str">
        <f t="shared" si="7"/>
        <v>KEEP</v>
      </c>
    </row>
    <row r="52" spans="1:15">
      <c r="A52" s="5" t="s">
        <v>223</v>
      </c>
      <c r="B52" s="5" t="s">
        <v>224</v>
      </c>
      <c r="C52" s="5" t="s">
        <v>204</v>
      </c>
      <c r="D52" s="5" t="s">
        <v>225</v>
      </c>
      <c r="E52" s="5" t="s">
        <v>57</v>
      </c>
      <c r="F52" s="5" t="s">
        <v>226</v>
      </c>
      <c r="G52" s="5" t="s">
        <v>39</v>
      </c>
      <c r="H52" t="str">
        <f t="shared" si="0"/>
        <v>Tono Kurniawan</v>
      </c>
      <c r="I52" t="str">
        <f t="shared" si="1"/>
        <v>tono.kurniawan@example.com</v>
      </c>
      <c r="J52" t="str">
        <f t="shared" si="2"/>
        <v>086301131692</v>
      </c>
      <c r="K52" t="str">
        <f t="shared" si="3"/>
        <v>Medan</v>
      </c>
      <c r="L52" t="str">
        <f t="shared" si="4"/>
        <v>Pending</v>
      </c>
      <c r="M52" t="str">
        <f t="shared" si="5"/>
        <v>28/05/2026</v>
      </c>
      <c r="N52" t="str">
        <f t="shared" si="6"/>
        <v>UNIQUE</v>
      </c>
      <c r="O52" t="str">
        <f t="shared" si="7"/>
        <v>KEEP</v>
      </c>
    </row>
  </sheetData>
  <autoFilter ref="A1:O52" xr:uid="{E0299AB4-625A-488A-A4AA-4EA18171BB2F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75BE-31D8-45C3-92AE-5589A24FF1AC}">
  <dimension ref="A1:E4"/>
  <sheetViews>
    <sheetView workbookViewId="0">
      <selection activeCell="H8" sqref="H8"/>
    </sheetView>
  </sheetViews>
  <sheetFormatPr defaultRowHeight="15"/>
  <cols>
    <col min="1" max="1" width="15.7109375" customWidth="1"/>
    <col min="2" max="2" width="15" customWidth="1"/>
    <col min="3" max="3" width="17.5703125" customWidth="1"/>
    <col min="4" max="4" width="30.7109375" customWidth="1"/>
    <col min="5" max="5" width="34.85546875" customWidth="1"/>
  </cols>
  <sheetData>
    <row r="1" spans="1:5">
      <c r="A1" t="s">
        <v>235</v>
      </c>
      <c r="B1" t="s">
        <v>236</v>
      </c>
      <c r="C1" t="s">
        <v>237</v>
      </c>
      <c r="D1" t="s">
        <v>238</v>
      </c>
      <c r="E1" t="s">
        <v>239</v>
      </c>
    </row>
    <row r="2" spans="1:5">
      <c r="A2" t="s">
        <v>240</v>
      </c>
      <c r="B2" t="s">
        <v>143</v>
      </c>
      <c r="C2" t="s">
        <v>60</v>
      </c>
      <c r="D2" t="s">
        <v>248</v>
      </c>
      <c r="E2" t="s">
        <v>249</v>
      </c>
    </row>
    <row r="3" spans="1:5">
      <c r="A3" s="7" t="s">
        <v>240</v>
      </c>
      <c r="B3" t="s">
        <v>207</v>
      </c>
      <c r="C3" t="s">
        <v>60</v>
      </c>
      <c r="D3" t="s">
        <v>248</v>
      </c>
      <c r="E3" t="s">
        <v>249</v>
      </c>
    </row>
    <row r="4" spans="1:5">
      <c r="A4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2" zoomScale="70" zoomScaleNormal="70" workbookViewId="0">
      <selection activeCell="W23" sqref="W23"/>
    </sheetView>
  </sheetViews>
  <sheetFormatPr defaultRowHeight="15"/>
  <cols>
    <col min="1" max="1" width="38.5703125" customWidth="1"/>
    <col min="2" max="2" width="34.5703125" customWidth="1"/>
  </cols>
  <sheetData>
    <row r="1" spans="1:1" ht="21">
      <c r="A1" s="1" t="s">
        <v>0</v>
      </c>
    </row>
    <row r="2" spans="1:1">
      <c r="A2" s="2" t="s">
        <v>1</v>
      </c>
    </row>
    <row r="3" spans="1:1">
      <c r="A3" s="2"/>
    </row>
    <row r="4" spans="1:1" ht="15.75">
      <c r="A4" s="3" t="s">
        <v>2</v>
      </c>
    </row>
    <row r="5" spans="1:1" ht="30">
      <c r="A5" s="2" t="s">
        <v>3</v>
      </c>
    </row>
    <row r="6" spans="1:1">
      <c r="A6" s="2"/>
    </row>
    <row r="7" spans="1:1" ht="15.75">
      <c r="A7" s="3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/>
    </row>
    <row r="17" spans="1:2" ht="15.75">
      <c r="A17" s="3" t="s">
        <v>13</v>
      </c>
    </row>
    <row r="18" spans="1:2">
      <c r="A18" s="2" t="s">
        <v>14</v>
      </c>
    </row>
    <row r="19" spans="1:2">
      <c r="A19" s="2" t="s">
        <v>15</v>
      </c>
    </row>
    <row r="20" spans="1:2">
      <c r="A20" s="2" t="s">
        <v>16</v>
      </c>
    </row>
    <row r="21" spans="1:2">
      <c r="A21" s="2"/>
    </row>
    <row r="22" spans="1:2" ht="15.75">
      <c r="A22" s="3" t="s">
        <v>17</v>
      </c>
    </row>
    <row r="23" spans="1:2" ht="30">
      <c r="A23" s="2" t="s">
        <v>18</v>
      </c>
    </row>
    <row r="25" spans="1:2" ht="15.75">
      <c r="A25" s="11" t="s">
        <v>241</v>
      </c>
    </row>
    <row r="26" spans="1:2">
      <c r="A26" s="10" t="s">
        <v>242</v>
      </c>
      <c r="B26">
        <v>51</v>
      </c>
    </row>
    <row r="27" spans="1:2">
      <c r="A27" s="10" t="s">
        <v>243</v>
      </c>
      <c r="B27">
        <v>49</v>
      </c>
    </row>
    <row r="28" spans="1:2">
      <c r="A28" s="10" t="s">
        <v>244</v>
      </c>
      <c r="B28">
        <v>2</v>
      </c>
    </row>
    <row r="29" spans="1:2">
      <c r="A29" s="10" t="s">
        <v>245</v>
      </c>
      <c r="B29">
        <v>2</v>
      </c>
    </row>
    <row r="30" spans="1:2">
      <c r="A30" s="10" t="s">
        <v>246</v>
      </c>
      <c r="B30" s="9" t="s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332F-36A7-4459-AA6A-B33EEEF5276C}">
  <dimension ref="A1:E8"/>
  <sheetViews>
    <sheetView tabSelected="1" workbookViewId="0">
      <selection activeCell="E13" sqref="E13"/>
    </sheetView>
  </sheetViews>
  <sheetFormatPr defaultRowHeight="15"/>
  <cols>
    <col min="1" max="1" width="21.140625" customWidth="1"/>
    <col min="2" max="2" width="19" customWidth="1"/>
    <col min="3" max="3" width="25.7109375" customWidth="1"/>
    <col min="4" max="4" width="26.7109375" customWidth="1"/>
    <col min="5" max="5" width="47.7109375" customWidth="1"/>
  </cols>
  <sheetData>
    <row r="1" spans="1:5">
      <c r="A1" t="s">
        <v>250</v>
      </c>
      <c r="B1" t="s">
        <v>251</v>
      </c>
      <c r="C1" t="s">
        <v>252</v>
      </c>
      <c r="D1" t="s">
        <v>253</v>
      </c>
      <c r="E1" t="s">
        <v>254</v>
      </c>
    </row>
    <row r="2" spans="1:5">
      <c r="A2" t="s">
        <v>255</v>
      </c>
      <c r="B2" t="s">
        <v>20</v>
      </c>
      <c r="C2" t="s">
        <v>256</v>
      </c>
      <c r="D2" t="s">
        <v>266</v>
      </c>
      <c r="E2" t="s">
        <v>257</v>
      </c>
    </row>
    <row r="3" spans="1:5">
      <c r="A3" t="s">
        <v>255</v>
      </c>
      <c r="B3" t="s">
        <v>21</v>
      </c>
      <c r="C3" t="s">
        <v>256</v>
      </c>
      <c r="D3" t="s">
        <v>228</v>
      </c>
      <c r="E3" t="s">
        <v>258</v>
      </c>
    </row>
    <row r="4" spans="1:5">
      <c r="A4" s="7" t="s">
        <v>255</v>
      </c>
      <c r="B4" t="s">
        <v>22</v>
      </c>
      <c r="C4" t="s">
        <v>256</v>
      </c>
      <c r="D4" t="s">
        <v>229</v>
      </c>
      <c r="E4" t="s">
        <v>259</v>
      </c>
    </row>
    <row r="5" spans="1:5">
      <c r="A5" s="8" t="s">
        <v>255</v>
      </c>
      <c r="B5" t="s">
        <v>23</v>
      </c>
      <c r="C5" t="s">
        <v>256</v>
      </c>
      <c r="D5" t="s">
        <v>230</v>
      </c>
      <c r="E5" t="s">
        <v>260</v>
      </c>
    </row>
    <row r="6" spans="1:5">
      <c r="A6" t="s">
        <v>255</v>
      </c>
      <c r="B6" t="s">
        <v>25</v>
      </c>
      <c r="C6" t="s">
        <v>256</v>
      </c>
      <c r="D6" t="s">
        <v>231</v>
      </c>
      <c r="E6" t="s">
        <v>261</v>
      </c>
    </row>
    <row r="7" spans="1:5">
      <c r="A7" t="s">
        <v>255</v>
      </c>
      <c r="B7" t="s">
        <v>24</v>
      </c>
      <c r="C7" t="s">
        <v>256</v>
      </c>
      <c r="D7" t="s">
        <v>232</v>
      </c>
      <c r="E7" t="s">
        <v>262</v>
      </c>
    </row>
    <row r="8" spans="1:5">
      <c r="A8" t="s">
        <v>240</v>
      </c>
      <c r="B8" t="s">
        <v>19</v>
      </c>
      <c r="C8" t="s">
        <v>263</v>
      </c>
      <c r="D8" t="s">
        <v>264</v>
      </c>
      <c r="E8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4" customWidth="1"/>
    <col min="4" max="4" width="18" customWidth="1"/>
    <col min="5" max="6" width="16" customWidth="1"/>
    <col min="7" max="7" width="14" customWidth="1"/>
  </cols>
  <sheetData>
    <row r="1" spans="1:7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7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</row>
    <row r="3" spans="1:7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</row>
    <row r="4" spans="1:7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39</v>
      </c>
    </row>
    <row r="5" spans="1:7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</row>
    <row r="6" spans="1:7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32</v>
      </c>
    </row>
    <row r="7" spans="1:7">
      <c r="A7" s="5" t="s">
        <v>59</v>
      </c>
      <c r="B7" s="5" t="s">
        <v>60</v>
      </c>
      <c r="C7" s="5" t="s">
        <v>61</v>
      </c>
      <c r="D7" s="5" t="s">
        <v>62</v>
      </c>
      <c r="E7" s="5" t="s">
        <v>63</v>
      </c>
      <c r="F7" s="5" t="s">
        <v>64</v>
      </c>
      <c r="G7" s="5" t="s">
        <v>39</v>
      </c>
    </row>
    <row r="8" spans="1:7">
      <c r="A8" s="5" t="s">
        <v>65</v>
      </c>
      <c r="B8" s="5" t="s">
        <v>66</v>
      </c>
      <c r="C8" s="5" t="s">
        <v>67</v>
      </c>
      <c r="D8" s="5" t="s">
        <v>68</v>
      </c>
      <c r="E8" s="5" t="s">
        <v>44</v>
      </c>
      <c r="F8" s="5" t="s">
        <v>69</v>
      </c>
      <c r="G8" s="5" t="s">
        <v>39</v>
      </c>
    </row>
    <row r="9" spans="1:7">
      <c r="A9" s="5" t="s">
        <v>59</v>
      </c>
      <c r="B9" s="5" t="s">
        <v>60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39</v>
      </c>
    </row>
    <row r="10" spans="1:7">
      <c r="A10" s="5" t="s">
        <v>70</v>
      </c>
      <c r="B10" s="5" t="s">
        <v>71</v>
      </c>
      <c r="C10" s="5" t="s">
        <v>55</v>
      </c>
      <c r="D10" s="5" t="s">
        <v>72</v>
      </c>
      <c r="E10" s="5" t="s">
        <v>57</v>
      </c>
      <c r="F10" s="5" t="s">
        <v>73</v>
      </c>
      <c r="G10" s="5" t="s">
        <v>52</v>
      </c>
    </row>
    <row r="11" spans="1:7">
      <c r="A11" s="5" t="s">
        <v>74</v>
      </c>
      <c r="B11" s="5" t="s">
        <v>47</v>
      </c>
      <c r="C11" s="5" t="s">
        <v>48</v>
      </c>
      <c r="D11" s="5" t="s">
        <v>75</v>
      </c>
      <c r="E11" s="5" t="s">
        <v>44</v>
      </c>
      <c r="F11" s="5" t="s">
        <v>76</v>
      </c>
      <c r="G11" s="5" t="s">
        <v>39</v>
      </c>
    </row>
    <row r="12" spans="1:7">
      <c r="A12" s="5" t="s">
        <v>77</v>
      </c>
      <c r="B12" s="5" t="s">
        <v>78</v>
      </c>
      <c r="C12" s="5" t="s">
        <v>79</v>
      </c>
      <c r="D12" s="5" t="s">
        <v>80</v>
      </c>
      <c r="E12" s="5" t="s">
        <v>57</v>
      </c>
      <c r="F12" s="5" t="s">
        <v>81</v>
      </c>
      <c r="G12" s="5" t="s">
        <v>32</v>
      </c>
    </row>
    <row r="13" spans="1:7">
      <c r="A13" s="5" t="s">
        <v>82</v>
      </c>
      <c r="B13" s="5" t="s">
        <v>83</v>
      </c>
      <c r="C13" s="5" t="s">
        <v>84</v>
      </c>
      <c r="D13" s="5" t="s">
        <v>85</v>
      </c>
      <c r="E13" s="5" t="s">
        <v>57</v>
      </c>
      <c r="F13" s="5" t="s">
        <v>73</v>
      </c>
      <c r="G13" s="5" t="s">
        <v>39</v>
      </c>
    </row>
    <row r="14" spans="1:7">
      <c r="A14" s="5" t="s">
        <v>86</v>
      </c>
      <c r="B14" s="5" t="s">
        <v>87</v>
      </c>
      <c r="C14" s="5" t="s">
        <v>88</v>
      </c>
      <c r="D14" s="5" t="s">
        <v>89</v>
      </c>
      <c r="E14" s="5" t="s">
        <v>37</v>
      </c>
      <c r="F14" s="5" t="s">
        <v>90</v>
      </c>
      <c r="G14" s="5" t="s">
        <v>39</v>
      </c>
    </row>
    <row r="15" spans="1:7">
      <c r="A15" s="5" t="s">
        <v>91</v>
      </c>
      <c r="B15" s="5" t="s">
        <v>87</v>
      </c>
      <c r="C15" s="5" t="s">
        <v>88</v>
      </c>
      <c r="D15" s="5" t="s">
        <v>92</v>
      </c>
      <c r="E15" s="5" t="s">
        <v>37</v>
      </c>
      <c r="F15" s="5" t="s">
        <v>93</v>
      </c>
      <c r="G15" s="5" t="s">
        <v>52</v>
      </c>
    </row>
    <row r="16" spans="1:7">
      <c r="A16" s="5" t="s">
        <v>94</v>
      </c>
      <c r="B16" s="5" t="s">
        <v>95</v>
      </c>
      <c r="C16" s="5" t="s">
        <v>96</v>
      </c>
      <c r="D16" s="5" t="s">
        <v>97</v>
      </c>
      <c r="E16" s="5" t="s">
        <v>30</v>
      </c>
      <c r="F16" s="5" t="s">
        <v>98</v>
      </c>
      <c r="G16" s="5" t="s">
        <v>32</v>
      </c>
    </row>
    <row r="17" spans="1:7">
      <c r="A17" s="5" t="s">
        <v>99</v>
      </c>
      <c r="B17" s="5" t="s">
        <v>100</v>
      </c>
      <c r="C17" s="5" t="s">
        <v>101</v>
      </c>
      <c r="D17" s="5" t="s">
        <v>102</v>
      </c>
      <c r="E17" s="5" t="s">
        <v>30</v>
      </c>
      <c r="F17" s="5" t="s">
        <v>103</v>
      </c>
      <c r="G17" s="5" t="s">
        <v>32</v>
      </c>
    </row>
    <row r="18" spans="1:7">
      <c r="A18" s="5" t="s">
        <v>104</v>
      </c>
      <c r="B18" s="5" t="s">
        <v>66</v>
      </c>
      <c r="C18" s="5" t="s">
        <v>67</v>
      </c>
      <c r="D18" s="5" t="s">
        <v>105</v>
      </c>
      <c r="E18" s="5" t="s">
        <v>44</v>
      </c>
      <c r="F18" s="5" t="s">
        <v>106</v>
      </c>
      <c r="G18" s="5" t="s">
        <v>32</v>
      </c>
    </row>
    <row r="19" spans="1:7">
      <c r="A19" s="5" t="s">
        <v>107</v>
      </c>
      <c r="B19" s="5" t="s">
        <v>100</v>
      </c>
      <c r="C19" s="5" t="s">
        <v>101</v>
      </c>
      <c r="D19" s="5" t="s">
        <v>108</v>
      </c>
      <c r="E19" s="5" t="s">
        <v>109</v>
      </c>
      <c r="F19" s="5" t="s">
        <v>110</v>
      </c>
      <c r="G19" s="5" t="s">
        <v>52</v>
      </c>
    </row>
    <row r="20" spans="1:7">
      <c r="A20" s="5" t="s">
        <v>111</v>
      </c>
      <c r="B20" s="5" t="s">
        <v>100</v>
      </c>
      <c r="C20" s="5" t="s">
        <v>101</v>
      </c>
      <c r="D20" s="5" t="s">
        <v>112</v>
      </c>
      <c r="E20" s="5" t="s">
        <v>30</v>
      </c>
      <c r="F20" s="5" t="s">
        <v>58</v>
      </c>
      <c r="G20" s="5" t="s">
        <v>39</v>
      </c>
    </row>
    <row r="21" spans="1:7">
      <c r="A21" s="5" t="s">
        <v>113</v>
      </c>
      <c r="B21" s="5" t="s">
        <v>78</v>
      </c>
      <c r="C21" s="5" t="s">
        <v>79</v>
      </c>
      <c r="D21" s="5" t="s">
        <v>114</v>
      </c>
      <c r="E21" s="5" t="s">
        <v>57</v>
      </c>
      <c r="F21" s="5" t="s">
        <v>115</v>
      </c>
      <c r="G21" s="5" t="s">
        <v>52</v>
      </c>
    </row>
    <row r="22" spans="1:7">
      <c r="A22" s="5" t="s">
        <v>116</v>
      </c>
      <c r="B22" s="5" t="s">
        <v>117</v>
      </c>
      <c r="C22" s="5" t="s">
        <v>118</v>
      </c>
      <c r="D22" s="5" t="s">
        <v>119</v>
      </c>
      <c r="E22" s="5" t="s">
        <v>30</v>
      </c>
      <c r="F22" s="5" t="s">
        <v>103</v>
      </c>
      <c r="G22" s="5" t="s">
        <v>32</v>
      </c>
    </row>
    <row r="23" spans="1:7">
      <c r="A23" s="5" t="s">
        <v>120</v>
      </c>
      <c r="B23" s="5" t="s">
        <v>121</v>
      </c>
      <c r="C23" s="5" t="s">
        <v>122</v>
      </c>
      <c r="D23" s="5" t="s">
        <v>123</v>
      </c>
      <c r="E23" s="5" t="s">
        <v>63</v>
      </c>
      <c r="F23" s="5" t="s">
        <v>124</v>
      </c>
      <c r="G23" s="5" t="s">
        <v>125</v>
      </c>
    </row>
    <row r="24" spans="1:7">
      <c r="A24" s="5" t="s">
        <v>126</v>
      </c>
      <c r="B24" s="5" t="s">
        <v>117</v>
      </c>
      <c r="C24" s="5" t="s">
        <v>118</v>
      </c>
      <c r="D24" s="5" t="s">
        <v>127</v>
      </c>
      <c r="E24" s="5" t="s">
        <v>30</v>
      </c>
      <c r="F24" s="5" t="s">
        <v>128</v>
      </c>
      <c r="G24" s="5" t="s">
        <v>52</v>
      </c>
    </row>
    <row r="25" spans="1:7">
      <c r="A25" s="5" t="s">
        <v>129</v>
      </c>
      <c r="B25" s="5" t="s">
        <v>130</v>
      </c>
      <c r="C25" s="5" t="s">
        <v>131</v>
      </c>
      <c r="D25" s="5" t="s">
        <v>132</v>
      </c>
      <c r="E25" s="5" t="s">
        <v>37</v>
      </c>
      <c r="F25" s="5" t="s">
        <v>133</v>
      </c>
      <c r="G25" s="5" t="s">
        <v>32</v>
      </c>
    </row>
    <row r="26" spans="1:7">
      <c r="A26" s="5" t="s">
        <v>134</v>
      </c>
      <c r="B26" s="5" t="s">
        <v>135</v>
      </c>
      <c r="C26" s="5" t="s">
        <v>136</v>
      </c>
      <c r="D26" s="5" t="s">
        <v>137</v>
      </c>
      <c r="E26" s="5" t="s">
        <v>63</v>
      </c>
      <c r="F26" s="5" t="s">
        <v>138</v>
      </c>
      <c r="G26" s="5" t="s">
        <v>52</v>
      </c>
    </row>
    <row r="27" spans="1:7">
      <c r="A27" s="5" t="s">
        <v>139</v>
      </c>
      <c r="B27" s="5" t="s">
        <v>140</v>
      </c>
      <c r="C27" s="5" t="s">
        <v>131</v>
      </c>
      <c r="D27" s="5" t="s">
        <v>141</v>
      </c>
      <c r="E27" s="5" t="s">
        <v>37</v>
      </c>
      <c r="F27" s="5" t="s">
        <v>142</v>
      </c>
      <c r="G27" s="5" t="s">
        <v>52</v>
      </c>
    </row>
    <row r="28" spans="1:7">
      <c r="A28" s="5" t="s">
        <v>143</v>
      </c>
      <c r="B28" s="5" t="s">
        <v>60</v>
      </c>
      <c r="C28" s="5" t="s">
        <v>61</v>
      </c>
      <c r="D28" s="5" t="s">
        <v>144</v>
      </c>
      <c r="E28" s="5" t="s">
        <v>63</v>
      </c>
      <c r="F28" s="5" t="s">
        <v>145</v>
      </c>
      <c r="G28" s="5" t="s">
        <v>32</v>
      </c>
    </row>
    <row r="29" spans="1:7">
      <c r="A29" s="5" t="s">
        <v>146</v>
      </c>
      <c r="B29" s="5" t="s">
        <v>147</v>
      </c>
      <c r="C29" s="5" t="s">
        <v>148</v>
      </c>
      <c r="D29" s="5" t="s">
        <v>149</v>
      </c>
      <c r="E29" s="5" t="s">
        <v>37</v>
      </c>
      <c r="F29" s="5" t="s">
        <v>150</v>
      </c>
      <c r="G29" s="5" t="s">
        <v>39</v>
      </c>
    </row>
    <row r="30" spans="1:7">
      <c r="A30" s="5" t="s">
        <v>151</v>
      </c>
      <c r="B30" s="5" t="s">
        <v>152</v>
      </c>
      <c r="C30" s="5" t="s">
        <v>153</v>
      </c>
      <c r="D30" s="5" t="s">
        <v>154</v>
      </c>
      <c r="E30" s="5" t="s">
        <v>63</v>
      </c>
      <c r="F30" s="5" t="s">
        <v>155</v>
      </c>
      <c r="G30" s="5" t="s">
        <v>52</v>
      </c>
    </row>
    <row r="31" spans="1:7">
      <c r="A31" s="5" t="s">
        <v>156</v>
      </c>
      <c r="B31" s="5" t="s">
        <v>87</v>
      </c>
      <c r="C31" s="5" t="s">
        <v>88</v>
      </c>
      <c r="D31" s="5" t="s">
        <v>157</v>
      </c>
      <c r="E31" s="5" t="s">
        <v>37</v>
      </c>
      <c r="F31" s="5" t="s">
        <v>158</v>
      </c>
      <c r="G31" s="5" t="s">
        <v>32</v>
      </c>
    </row>
    <row r="32" spans="1:7">
      <c r="A32" s="5" t="s">
        <v>159</v>
      </c>
      <c r="B32" s="5" t="s">
        <v>41</v>
      </c>
      <c r="C32" s="5" t="s">
        <v>42</v>
      </c>
      <c r="D32" s="5" t="s">
        <v>160</v>
      </c>
      <c r="E32" s="5" t="s">
        <v>44</v>
      </c>
      <c r="F32" s="5" t="s">
        <v>161</v>
      </c>
      <c r="G32" s="5"/>
    </row>
    <row r="33" spans="1:7">
      <c r="A33" s="5" t="s">
        <v>162</v>
      </c>
      <c r="B33" s="5" t="s">
        <v>147</v>
      </c>
      <c r="C33" s="5" t="s">
        <v>148</v>
      </c>
      <c r="D33" s="5" t="s">
        <v>163</v>
      </c>
      <c r="E33" s="5" t="s">
        <v>37</v>
      </c>
      <c r="F33" s="5" t="s">
        <v>164</v>
      </c>
      <c r="G33" s="5" t="s">
        <v>32</v>
      </c>
    </row>
    <row r="34" spans="1:7">
      <c r="A34" s="5" t="s">
        <v>165</v>
      </c>
      <c r="B34" s="5" t="s">
        <v>27</v>
      </c>
      <c r="C34" s="5" t="s">
        <v>166</v>
      </c>
      <c r="D34" s="5" t="s">
        <v>167</v>
      </c>
      <c r="E34" s="5" t="s">
        <v>30</v>
      </c>
      <c r="F34" s="5" t="s">
        <v>168</v>
      </c>
      <c r="G34" s="5" t="s">
        <v>52</v>
      </c>
    </row>
    <row r="35" spans="1:7">
      <c r="A35" s="5" t="s">
        <v>169</v>
      </c>
      <c r="B35" s="5" t="s">
        <v>117</v>
      </c>
      <c r="C35" s="5" t="s">
        <v>118</v>
      </c>
      <c r="D35" s="5" t="s">
        <v>170</v>
      </c>
      <c r="E35" s="5" t="s">
        <v>30</v>
      </c>
      <c r="F35" s="5" t="s">
        <v>171</v>
      </c>
      <c r="G35" s="5" t="s">
        <v>39</v>
      </c>
    </row>
    <row r="36" spans="1:7">
      <c r="A36" s="5" t="s">
        <v>172</v>
      </c>
      <c r="B36" s="5" t="s">
        <v>60</v>
      </c>
      <c r="C36" s="5" t="s">
        <v>61</v>
      </c>
      <c r="D36" s="5" t="s">
        <v>173</v>
      </c>
      <c r="E36" s="5" t="s">
        <v>63</v>
      </c>
      <c r="F36" s="5" t="s">
        <v>174</v>
      </c>
      <c r="G36" s="5" t="s">
        <v>175</v>
      </c>
    </row>
    <row r="37" spans="1:7">
      <c r="A37" s="5" t="s">
        <v>176</v>
      </c>
      <c r="B37" s="5" t="s">
        <v>34</v>
      </c>
      <c r="C37" s="5" t="s">
        <v>35</v>
      </c>
      <c r="D37" s="5" t="s">
        <v>177</v>
      </c>
      <c r="E37" s="5" t="s">
        <v>37</v>
      </c>
      <c r="F37" s="5" t="s">
        <v>164</v>
      </c>
      <c r="G37" s="5" t="s">
        <v>32</v>
      </c>
    </row>
    <row r="38" spans="1:7">
      <c r="A38" s="5" t="s">
        <v>178</v>
      </c>
      <c r="B38" s="5" t="s">
        <v>34</v>
      </c>
      <c r="C38" s="5" t="s">
        <v>179</v>
      </c>
      <c r="D38" s="5" t="s">
        <v>180</v>
      </c>
      <c r="E38" s="5" t="s">
        <v>37</v>
      </c>
      <c r="F38" s="5" t="s">
        <v>181</v>
      </c>
      <c r="G38" s="5" t="s">
        <v>52</v>
      </c>
    </row>
    <row r="39" spans="1:7">
      <c r="A39" s="5" t="s">
        <v>182</v>
      </c>
      <c r="B39" s="5" t="s">
        <v>183</v>
      </c>
      <c r="C39" s="5" t="s">
        <v>184</v>
      </c>
      <c r="D39" s="5" t="s">
        <v>185</v>
      </c>
      <c r="E39" s="5" t="s">
        <v>44</v>
      </c>
      <c r="F39" s="5" t="s">
        <v>186</v>
      </c>
      <c r="G39" s="5" t="s">
        <v>39</v>
      </c>
    </row>
    <row r="40" spans="1:7">
      <c r="A40" s="5" t="s">
        <v>187</v>
      </c>
      <c r="B40" s="5" t="s">
        <v>152</v>
      </c>
      <c r="C40" s="5" t="s">
        <v>153</v>
      </c>
      <c r="D40" s="5" t="s">
        <v>188</v>
      </c>
      <c r="E40" s="5" t="s">
        <v>63</v>
      </c>
      <c r="F40" s="5" t="s">
        <v>69</v>
      </c>
      <c r="G40" s="5" t="s">
        <v>32</v>
      </c>
    </row>
    <row r="41" spans="1:7">
      <c r="A41" s="5" t="s">
        <v>189</v>
      </c>
      <c r="B41" s="5" t="s">
        <v>121</v>
      </c>
      <c r="C41" s="5" t="s">
        <v>122</v>
      </c>
      <c r="D41" s="5" t="s">
        <v>190</v>
      </c>
      <c r="E41" s="5" t="s">
        <v>63</v>
      </c>
      <c r="F41" s="5" t="s">
        <v>191</v>
      </c>
      <c r="G41" s="5" t="s">
        <v>39</v>
      </c>
    </row>
    <row r="42" spans="1:7">
      <c r="A42" s="5" t="s">
        <v>192</v>
      </c>
      <c r="B42" s="5" t="s">
        <v>54</v>
      </c>
      <c r="C42" s="5" t="s">
        <v>55</v>
      </c>
      <c r="D42" s="5" t="s">
        <v>193</v>
      </c>
      <c r="E42" s="5" t="s">
        <v>57</v>
      </c>
      <c r="F42" s="5" t="s">
        <v>194</v>
      </c>
      <c r="G42" s="5" t="s">
        <v>39</v>
      </c>
    </row>
    <row r="43" spans="1:7">
      <c r="A43" s="5" t="s">
        <v>195</v>
      </c>
      <c r="B43" s="5" t="s">
        <v>83</v>
      </c>
      <c r="C43" s="5" t="s">
        <v>84</v>
      </c>
      <c r="D43" s="5"/>
      <c r="E43" s="5" t="s">
        <v>57</v>
      </c>
      <c r="F43" s="5" t="s">
        <v>196</v>
      </c>
      <c r="G43" s="5" t="s">
        <v>52</v>
      </c>
    </row>
    <row r="44" spans="1:7">
      <c r="A44" s="5" t="s">
        <v>197</v>
      </c>
      <c r="B44" s="5" t="s">
        <v>135</v>
      </c>
      <c r="C44" s="5" t="s">
        <v>136</v>
      </c>
      <c r="D44" s="5" t="s">
        <v>198</v>
      </c>
      <c r="E44" s="5" t="s">
        <v>63</v>
      </c>
      <c r="F44" s="5" t="s">
        <v>199</v>
      </c>
      <c r="G44" s="5" t="s">
        <v>32</v>
      </c>
    </row>
    <row r="45" spans="1:7">
      <c r="A45" s="5" t="s">
        <v>200</v>
      </c>
      <c r="B45" s="5" t="s">
        <v>183</v>
      </c>
      <c r="C45" s="5" t="s">
        <v>184</v>
      </c>
      <c r="D45" s="5" t="s">
        <v>201</v>
      </c>
      <c r="E45" s="5" t="s">
        <v>44</v>
      </c>
      <c r="F45" s="5" t="s">
        <v>191</v>
      </c>
      <c r="G45" s="5" t="s">
        <v>32</v>
      </c>
    </row>
    <row r="46" spans="1:7">
      <c r="A46" s="5" t="s">
        <v>202</v>
      </c>
      <c r="B46" s="5" t="s">
        <v>203</v>
      </c>
      <c r="C46" s="5" t="s">
        <v>204</v>
      </c>
      <c r="D46" s="5" t="s">
        <v>205</v>
      </c>
      <c r="E46" s="5" t="s">
        <v>57</v>
      </c>
      <c r="F46" s="5" t="s">
        <v>206</v>
      </c>
      <c r="G46" s="5" t="s">
        <v>52</v>
      </c>
    </row>
    <row r="47" spans="1:7">
      <c r="A47" s="5" t="s">
        <v>207</v>
      </c>
      <c r="B47" s="5" t="s">
        <v>60</v>
      </c>
      <c r="C47" s="5" t="s">
        <v>208</v>
      </c>
      <c r="D47" s="5" t="s">
        <v>144</v>
      </c>
      <c r="E47" s="5" t="s">
        <v>63</v>
      </c>
      <c r="F47" s="5" t="s">
        <v>145</v>
      </c>
      <c r="G47" s="5" t="s">
        <v>32</v>
      </c>
    </row>
    <row r="48" spans="1:7">
      <c r="A48" s="5" t="s">
        <v>209</v>
      </c>
      <c r="B48" s="5" t="s">
        <v>152</v>
      </c>
      <c r="C48" s="5" t="s">
        <v>153</v>
      </c>
      <c r="D48" s="5" t="s">
        <v>210</v>
      </c>
      <c r="E48" s="5" t="s">
        <v>63</v>
      </c>
      <c r="F48" s="5" t="s">
        <v>211</v>
      </c>
      <c r="G48" s="5" t="s">
        <v>39</v>
      </c>
    </row>
    <row r="49" spans="1:7">
      <c r="A49" s="5" t="s">
        <v>212</v>
      </c>
      <c r="B49" s="5" t="s">
        <v>41</v>
      </c>
      <c r="C49" s="5" t="s">
        <v>213</v>
      </c>
      <c r="D49" s="5" t="s">
        <v>214</v>
      </c>
      <c r="E49" s="5" t="s">
        <v>44</v>
      </c>
      <c r="F49" s="5" t="s">
        <v>215</v>
      </c>
      <c r="G49" s="5" t="s">
        <v>32</v>
      </c>
    </row>
    <row r="50" spans="1:7">
      <c r="A50" s="5" t="s">
        <v>216</v>
      </c>
      <c r="B50" s="5" t="s">
        <v>183</v>
      </c>
      <c r="C50" s="5" t="s">
        <v>184</v>
      </c>
      <c r="D50" s="5" t="s">
        <v>217</v>
      </c>
      <c r="E50" s="5"/>
      <c r="F50" s="5" t="s">
        <v>215</v>
      </c>
      <c r="G50" s="5" t="s">
        <v>52</v>
      </c>
    </row>
    <row r="51" spans="1:7">
      <c r="A51" s="5" t="s">
        <v>218</v>
      </c>
      <c r="B51" s="5" t="s">
        <v>95</v>
      </c>
      <c r="C51" s="5" t="s">
        <v>96</v>
      </c>
      <c r="D51" s="5" t="s">
        <v>219</v>
      </c>
      <c r="E51" s="5" t="s">
        <v>30</v>
      </c>
      <c r="F51" s="5" t="s">
        <v>64</v>
      </c>
      <c r="G51" s="5" t="s">
        <v>39</v>
      </c>
    </row>
    <row r="52" spans="1:7">
      <c r="A52" s="5" t="s">
        <v>220</v>
      </c>
      <c r="B52" s="5" t="s">
        <v>83</v>
      </c>
      <c r="C52" s="5" t="s">
        <v>84</v>
      </c>
      <c r="D52" s="5" t="s">
        <v>221</v>
      </c>
      <c r="E52" s="5" t="s">
        <v>57</v>
      </c>
      <c r="F52" s="5" t="s">
        <v>222</v>
      </c>
      <c r="G52" s="5" t="s">
        <v>32</v>
      </c>
    </row>
    <row r="53" spans="1:7">
      <c r="A53" s="5" t="s">
        <v>209</v>
      </c>
      <c r="B53" s="5" t="s">
        <v>152</v>
      </c>
      <c r="C53" s="5" t="s">
        <v>153</v>
      </c>
      <c r="D53" s="5" t="s">
        <v>210</v>
      </c>
      <c r="E53" s="5" t="s">
        <v>63</v>
      </c>
      <c r="F53" s="5" t="s">
        <v>211</v>
      </c>
      <c r="G53" s="5" t="s">
        <v>39</v>
      </c>
    </row>
    <row r="54" spans="1:7">
      <c r="A54" s="5" t="s">
        <v>223</v>
      </c>
      <c r="B54" s="5" t="s">
        <v>224</v>
      </c>
      <c r="C54" s="5" t="s">
        <v>204</v>
      </c>
      <c r="D54" s="5" t="s">
        <v>225</v>
      </c>
      <c r="E54" s="5" t="s">
        <v>57</v>
      </c>
      <c r="F54" s="5" t="s">
        <v>226</v>
      </c>
      <c r="G54" s="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_DATA</vt:lpstr>
      <vt:lpstr>ISSUE_LOG</vt:lpstr>
      <vt:lpstr>Client_Brief</vt:lpstr>
      <vt:lpstr>Change_Log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2026-08-15T03:48:52Z</dcterms:created>
  <dcterms:modified xsi:type="dcterms:W3CDTF">2026-08-15T09:04:00Z</dcterms:modified>
</cp:coreProperties>
</file>